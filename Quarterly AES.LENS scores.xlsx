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S:\Operative Care\Eye-Supervisors\LENS\"/>
    </mc:Choice>
  </mc:AlternateContent>
  <xr:revisionPtr revIDLastSave="0" documentId="13_ncr:1_{D6A5F4A1-4AF7-4CF3-B387-D5F76EEA9C48}" xr6:coauthVersionLast="47" xr6:coauthVersionMax="47" xr10:uidLastSave="{00000000-0000-0000-0000-000000000000}"/>
  <bookViews>
    <workbookView xWindow="28680" yWindow="-180" windowWidth="29040" windowHeight="15720" activeTab="2" xr2:uid="{00000000-000D-0000-FFFF-FFFF00000000}"/>
  </bookViews>
  <sheets>
    <sheet name="FY24 AES Quarterly Survey" sheetId="11" r:id="rId1"/>
    <sheet name="FY25 AES bi-annual" sheetId="13" r:id="rId2"/>
    <sheet name="LENS FY 26 biannual" sheetId="14" r:id="rId3"/>
  </sheets>
  <definedNames>
    <definedName name="Display_Week">'FY24 AES Quarterly Survey'!$R$2</definedName>
    <definedName name="_xlnm.Print_Titles" localSheetId="0">'FY24 AES Quarterly Survey'!$3:$3</definedName>
    <definedName name="Project_Start">'FY24 AES Quarterly Survey'!$R$1</definedName>
    <definedName name="task_end" localSheetId="0">'FY24 AES Quarterly Survey'!$G1</definedName>
    <definedName name="task_end" localSheetId="1">'FY24 AES Quarterly Survey'!$G1</definedName>
    <definedName name="task_end" localSheetId="2">'FY24 AES Quarterly Survey'!$G1</definedName>
    <definedName name="task_progress" localSheetId="0">'FY24 AES Quarterly Survey'!$C1</definedName>
    <definedName name="task_progress" localSheetId="1">'FY24 AES Quarterly Survey'!$C1</definedName>
    <definedName name="task_progress" localSheetId="2">'FY24 AES Quarterly Survey'!$C1</definedName>
    <definedName name="task_start" localSheetId="0">'FY24 AES Quarterly Survey'!$D1</definedName>
    <definedName name="task_start" localSheetId="1">'FY24 AES Quarterly Survey'!$D1</definedName>
    <definedName name="task_start" localSheetId="2">'FY24 AES Quarterly Survey'!$D1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8" i="14" l="1"/>
  <c r="G55" i="14"/>
  <c r="G54" i="14"/>
  <c r="G53" i="14"/>
  <c r="G52" i="14"/>
  <c r="G51" i="14"/>
  <c r="G50" i="14"/>
  <c r="G43" i="14"/>
  <c r="G41" i="14"/>
  <c r="G40" i="14"/>
  <c r="G39" i="14"/>
  <c r="G38" i="14"/>
  <c r="G37" i="14"/>
  <c r="G30" i="14"/>
  <c r="G28" i="14"/>
  <c r="G27" i="14"/>
  <c r="G26" i="14"/>
  <c r="G25" i="14"/>
  <c r="G24" i="14"/>
  <c r="G17" i="14"/>
  <c r="G16" i="14"/>
  <c r="G14" i="14"/>
  <c r="G13" i="14"/>
  <c r="G12" i="14"/>
  <c r="F1" i="14"/>
  <c r="G56" i="13"/>
  <c r="G55" i="13"/>
  <c r="G54" i="13"/>
  <c r="G53" i="13"/>
  <c r="G52" i="13"/>
  <c r="G51" i="13"/>
  <c r="G50" i="13"/>
  <c r="G43" i="13"/>
  <c r="G41" i="13"/>
  <c r="G40" i="13"/>
  <c r="G39" i="13"/>
  <c r="G38" i="13"/>
  <c r="G37" i="13"/>
  <c r="G30" i="13"/>
  <c r="G28" i="13"/>
  <c r="G27" i="13"/>
  <c r="G26" i="13"/>
  <c r="G25" i="13"/>
  <c r="G24" i="13"/>
  <c r="G17" i="13"/>
  <c r="G16" i="13"/>
  <c r="G14" i="13"/>
  <c r="G13" i="13"/>
  <c r="G12" i="13"/>
  <c r="F1" i="13"/>
  <c r="I55" i="11"/>
  <c r="I54" i="11"/>
  <c r="I43" i="11"/>
  <c r="I30" i="11"/>
  <c r="I17" i="11"/>
  <c r="I4" i="11"/>
  <c r="I40" i="11" l="1"/>
  <c r="I36" i="11"/>
  <c r="I10" i="11"/>
  <c r="I53" i="11"/>
  <c r="I37" i="11"/>
  <c r="I52" i="11"/>
  <c r="I38" i="11"/>
  <c r="I23" i="11"/>
  <c r="I15" i="11"/>
  <c r="I11" i="11" l="1"/>
  <c r="I49" i="11"/>
  <c r="I50" i="11"/>
  <c r="I51" i="11"/>
  <c r="I39" i="11"/>
  <c r="I24" i="11"/>
  <c r="I12" i="11"/>
  <c r="I13" i="11"/>
  <c r="I27" i="11" l="1"/>
  <c r="I26" i="11"/>
  <c r="I25" i="11"/>
</calcChain>
</file>

<file path=xl/sharedStrings.xml><?xml version="1.0" encoding="utf-8"?>
<sst xmlns="http://schemas.openxmlformats.org/spreadsheetml/2006/main" count="223" uniqueCount="71">
  <si>
    <t>Insert new rows ABOVE this one</t>
  </si>
  <si>
    <t>Eye Service</t>
  </si>
  <si>
    <t>Question</t>
  </si>
  <si>
    <t>Quarter 1 Score</t>
  </si>
  <si>
    <t>Quarter 2 Score</t>
  </si>
  <si>
    <t>Quarter 3 Score</t>
  </si>
  <si>
    <t>Quarter 4 Score</t>
  </si>
  <si>
    <t>Score Goal</t>
  </si>
  <si>
    <t>1. How satisfied are you with the recognition you receive for doing a good job?</t>
  </si>
  <si>
    <t>2. My supervisor listens to what I have to say.</t>
  </si>
  <si>
    <t>3. People treat each other with respect in my workgroup.</t>
  </si>
  <si>
    <t>4. Members of my workgroup communicate well with each other.</t>
  </si>
  <si>
    <t>5. I feel encouraged to come up with new and better ways of doing things.</t>
  </si>
  <si>
    <t>6. My work gives me a feeling of personal accomplishment.</t>
  </si>
  <si>
    <t>7. Considering everything, how satisfied are you with your job?</t>
  </si>
  <si>
    <t>8. Overall, how good a job do you feel is being done by your immediate supervisor?</t>
  </si>
  <si>
    <t>9. How satisfied are you with the information you receive from management on what’s going on in your organization?</t>
  </si>
  <si>
    <t>10. I feel comfortable being myself at work (all aspects of your physical, cultural, spiritual, or emotional self).</t>
  </si>
  <si>
    <t>SALEM</t>
  </si>
  <si>
    <t>VANCOUVER</t>
  </si>
  <si>
    <t>PORTLAND</t>
  </si>
  <si>
    <t>BEND</t>
  </si>
  <si>
    <t>Comments:</t>
  </si>
  <si>
    <r>
      <t xml:space="preserve">AES Quarterly survey results
</t>
    </r>
    <r>
      <rPr>
        <b/>
        <sz val="18"/>
        <color theme="9"/>
        <rFont val="Arial Black"/>
        <family val="2"/>
        <scheme val="major"/>
      </rPr>
      <t>(based on FY2024 goals: Recognition and Communication)</t>
    </r>
  </si>
  <si>
    <t>3 responses</t>
  </si>
  <si>
    <t>4 repsonses</t>
  </si>
  <si>
    <t>Comments: 1) FD and tech should be treated equally ( RDO, TW...); 2) Drama could be prevented if addressed appropriately.; "So appreciative of all you guys do!"</t>
  </si>
  <si>
    <t>6 responses</t>
  </si>
  <si>
    <t>Scoring
5: "Very satisfied" -or- "Strongly agree"
4: "Satisfied" -or- Agree"
3: "Neither"-or- "Neither agree nor disagree"
2: "Dissatisfied" -or- Disagree"
1: "Very unsatisfied" -or- Strongly disagree"</t>
  </si>
  <si>
    <t>5 responses</t>
  </si>
  <si>
    <t>8 responses</t>
  </si>
  <si>
    <t>9 responses</t>
  </si>
  <si>
    <r>
      <t xml:space="preserve">AES Quarterly survey results
</t>
    </r>
    <r>
      <rPr>
        <b/>
        <sz val="18"/>
        <color theme="9"/>
        <rFont val="Arial Black"/>
        <family val="2"/>
        <scheme val="major"/>
      </rPr>
      <t>(based on FY2025 goals: Workload and Communication)</t>
    </r>
  </si>
  <si>
    <t>1. My workload is reasonable</t>
  </si>
  <si>
    <t>3. I know what is expected of me on the job.</t>
  </si>
  <si>
    <t>2. I feel encouraged to come up with new and better ways of doing things</t>
  </si>
  <si>
    <t>4. How satisfied are you with the information you receive from management on what's going on in your organization</t>
  </si>
  <si>
    <t>5. Diverse perspectives are included in decision making.</t>
  </si>
  <si>
    <t>6. How satisfied are you with the recognition you receive for doing your job?</t>
  </si>
  <si>
    <t>7. It is worthwhile in my workgroup to speak up because something will be done to address our concerns.</t>
  </si>
  <si>
    <t>8. People treat each other with respect in my workgroup.</t>
  </si>
  <si>
    <t>9. Members of my workgroup are able to bring up problems and tough issues.</t>
  </si>
  <si>
    <t>10. I feel burned out from my work. ***(high score indicates burn out- would want a low score)</t>
  </si>
  <si>
    <t>Scoring
5: "satisfied" or "agree"
3: "Neither"-or- "Neither agree nor disagree"
1: "unsatisfied" -or- "disagree"</t>
  </si>
  <si>
    <t>Comments: We need more staff, as we all know; I would like a little more transparency regarding what's going on with hiring and other matters</t>
  </si>
  <si>
    <t>Dashboard data utilizing #1 for staff satisfaction, #6 for recognition, and # 10 for psychological safety</t>
  </si>
  <si>
    <t>Staff Satisfaction Dashboard data</t>
  </si>
  <si>
    <t>Regcognition Dashboard data</t>
  </si>
  <si>
    <t>Psyochological Safety Dashboard data</t>
  </si>
  <si>
    <t>Comments: ID	Name	Responses
1	anonymous	I am happy with my role and workload. I feel I am supported by my team and management to do my job well.
2	anonymous	I'm glad to be apart of this team, that is guided by excellent leadership.
3	anonymous	I LOVE it here at the VA! Including the patients and Staff it is definitely the best job i ever had!!
4	anonymous	Now we have only 2 techs on compressed tours, I don't think it's good for our team that one of those has a RDOs is on Wendsday, one of the busiest clinic days.
5	anonymous	It feels like our clinic is not regularly cleaned. The floors collect dust bunnies, dirt, etc. and are neither swept nor mopped. We often run out of toilet paper and paper towels in our restroom. It would be wonderful if our floors got cleaned and our restroom was regularly checked and stocked.</t>
  </si>
  <si>
    <t>9/1/2025 (6 responses)</t>
  </si>
  <si>
    <t>4/1/2025 (3 responses)</t>
  </si>
  <si>
    <t>Comments: 1. I feel Jamie has things well under control and is consistently doing a fantastic job leading our team. 2. Hi Jamie! 3. tough conversations and issues are welcomed to be address but solving the issue has a bias approach because my supervisors appeasement is dedicated to those higher such as doctors rather than support staff such as technicians. 4. I feel work has been going well lately, no complaints.</t>
  </si>
  <si>
    <r>
      <t xml:space="preserve">LENS Quarterly survey results
</t>
    </r>
    <r>
      <rPr>
        <b/>
        <sz val="18"/>
        <color theme="9"/>
        <rFont val="Arial Black"/>
        <family val="2"/>
        <scheme val="major"/>
      </rPr>
      <t xml:space="preserve">(based on FY2026 goals: </t>
    </r>
  </si>
  <si>
    <t>1. I feel engaged by the work I do.</t>
  </si>
  <si>
    <t>2. My workload is manageable within my scheduled hours without negatively impacting patient care or my well-being.</t>
  </si>
  <si>
    <t>3.My direct supervisor provides clear expectations and priorities for my work.</t>
  </si>
  <si>
    <t>4. Leadership communicates the reasoning behind decisions that affect my work in a clear and timely manner.</t>
  </si>
  <si>
    <t>5. I feel acknowledged by my team when I speak up.</t>
  </si>
  <si>
    <t>6. I am satisfied with my involvement in decisions that affect my work?</t>
  </si>
  <si>
    <t>7. My team works together effectively during busy or stressful times.</t>
  </si>
  <si>
    <t>8. I feel safe to speak up if I see something that does not make sense or seems wrong.</t>
  </si>
  <si>
    <t>9. I feel comfortable asking for help when I am unsure or overwhelmed.</t>
  </si>
  <si>
    <t>4/2/2026 ( 4 responses)</t>
  </si>
  <si>
    <t>10. What is an area in which you would like to see improvement? (This is not rated, comments below)</t>
  </si>
  <si>
    <t>ID	Name	Responses
1	anonymous	.
2	anonymous	N/A
3	anonymous	Positivity during the workday.
4	anonymous	I would answer but then it wouldn't be anonymous</t>
  </si>
  <si>
    <t>1) The numerous OB and urgents are difficult to manage during a full clinic with a 1 tech, I would like to see some improvement there
2) Nothing off the top of my head everything has been great
3) Staffing</t>
  </si>
  <si>
    <t>1.	evening out patient load. It does feel that some techs are doing other things when they should be teching. (studying/door closed without patients). Also, a more clear guidance on what we go to the leads for. I notice one lead doing a lion share of the load, when the other is the first one out the door.
2.	This is not my manager's fault, but the floors never get cleaned, and neither does the breakroom floor. It would be nice if they got cleaned one in a while.
3.	Updated &amp; expanded clinic, i.e. more exam rooms, etc. More clinic openers &amp; closers.
4.	More daily involvment from management
5.	Hire more staff for better coverage.
6.	I find it severely unfair that technicians do not accrue the same amount of leave time as the nurses. We work extremely hard every day, to the point of burn out. We are the ones involved in direct, face to face patient care; each patient, every day. Our nurses are not working directly face to face, they do not work in in-patient units, yet their benefits outweigh the technicians'. This is incredibly unfair to the hardworking Certified Eyed Technicians of the eye clinic who work with every single patient that checks into the eye clinic every day.
7.	Patient numbers more evenly distributed throughout the week.</t>
  </si>
  <si>
    <t>1. anonymous: more autonomy, less micromanagement, less gossip and whispering in offices</t>
  </si>
  <si>
    <t>2. Satffing - Vancouver is supposed to have 3 ophthalmic techs</t>
  </si>
  <si>
    <t>4/1/2026 (4 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</si>
</sst>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m/d/yy;@"/>
    <numFmt numFmtId="165" formatCode="ddd\,\ m/d/yyyy"/>
    <numFmt numFmtId="166" formatCode="d"/>
  </numFmts>
  <fonts count="25"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35"/>
      <color theme="9"/>
      <name val="Arial Black"/>
      <family val="2"/>
      <scheme val="major"/>
    </font>
    <font>
      <sz val="11"/>
      <color theme="1"/>
      <name val="Calibri"/>
      <family val="2"/>
    </font>
    <font>
      <b/>
      <sz val="12"/>
      <name val="Arial"/>
      <family val="2"/>
      <scheme val="minor"/>
    </font>
    <font>
      <b/>
      <sz val="18"/>
      <color theme="9"/>
      <name val="Arial Black"/>
      <family val="2"/>
      <scheme val="major"/>
    </font>
    <font>
      <sz val="11"/>
      <color theme="1"/>
      <name val="Segoe UI"/>
      <family val="2"/>
    </font>
    <font>
      <sz val="16"/>
      <color rgb="FF4A6F9C"/>
      <name val="Amasis MT Pro"/>
      <family val="1"/>
    </font>
    <font>
      <sz val="11"/>
      <color rgb="FF4A6F9C"/>
      <name val="Arial"/>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59999389629810485"/>
        <bgColor indexed="64"/>
      </patternFill>
    </fill>
  </fills>
  <borders count="6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1" tint="0.499984740745262"/>
      </top>
      <bottom/>
      <diagonal/>
    </border>
    <border>
      <left/>
      <right style="thin">
        <color theme="4" tint="0.59999389629810485"/>
      </right>
      <top/>
      <bottom style="thin">
        <color theme="4" tint="0.59996337778862885"/>
      </bottom>
      <diagonal/>
    </border>
    <border>
      <left style="thin">
        <color theme="4" tint="0.59999389629810485"/>
      </left>
      <right/>
      <top style="thin">
        <color theme="4" tint="0.59996337778862885"/>
      </top>
      <bottom style="thin">
        <color theme="4" tint="0.59996337778862885"/>
      </bottom>
      <diagonal/>
    </border>
    <border>
      <left style="thin">
        <color theme="4" tint="0.59999389629810485"/>
      </left>
      <right style="thin">
        <color theme="4" tint="0.59999389629810485"/>
      </right>
      <top/>
      <bottom style="thin">
        <color theme="4" tint="0.59996337778862885"/>
      </bottom>
      <diagonal/>
    </border>
    <border>
      <left style="thin">
        <color theme="4" tint="0.59999389629810485"/>
      </left>
      <right style="thin">
        <color theme="4" tint="0.59999389629810485"/>
      </right>
      <top style="thin">
        <color theme="4" tint="0.59996337778862885"/>
      </top>
      <bottom style="thin">
        <color theme="4" tint="0.59996337778862885"/>
      </bottom>
      <diagonal/>
    </border>
    <border>
      <left style="thin">
        <color theme="5" tint="0.39997558519241921"/>
      </left>
      <right/>
      <top style="thin">
        <color theme="5" tint="0.59996337778862885"/>
      </top>
      <bottom style="thin">
        <color theme="5" tint="0.59996337778862885"/>
      </bottom>
      <diagonal/>
    </border>
    <border>
      <left/>
      <right style="thin">
        <color theme="5" tint="0.39997558519241921"/>
      </right>
      <top style="thin">
        <color theme="5" tint="0.59996337778862885"/>
      </top>
      <bottom style="thin">
        <color theme="5" tint="0.59996337778862885"/>
      </bottom>
      <diagonal/>
    </border>
    <border>
      <left style="thin">
        <color theme="5" tint="0.39997558519241921"/>
      </left>
      <right style="thin">
        <color theme="5" tint="0.39997558519241921"/>
      </right>
      <top style="thin">
        <color theme="5" tint="0.59996337778862885"/>
      </top>
      <bottom style="thin">
        <color theme="5" tint="0.59996337778862885"/>
      </bottom>
      <diagonal/>
    </border>
    <border>
      <left style="thin">
        <color theme="8" tint="0.39997558519241921"/>
      </left>
      <right/>
      <top style="thin">
        <color theme="8" tint="0.59996337778862885"/>
      </top>
      <bottom style="thin">
        <color theme="8" tint="0.59996337778862885"/>
      </bottom>
      <diagonal/>
    </border>
    <border>
      <left/>
      <right style="thin">
        <color theme="8" tint="0.39997558519241921"/>
      </right>
      <top style="thin">
        <color theme="8" tint="0.59996337778862885"/>
      </top>
      <bottom style="thin">
        <color theme="8" tint="0.59996337778862885"/>
      </bottom>
      <diagonal/>
    </border>
    <border>
      <left style="thin">
        <color theme="8" tint="0.39997558519241921"/>
      </left>
      <right style="thin">
        <color theme="8" tint="0.39997558519241921"/>
      </right>
      <top style="thin">
        <color theme="8" tint="0.59996337778862885"/>
      </top>
      <bottom style="thin">
        <color theme="8" tint="0.59996337778862885"/>
      </bottom>
      <diagonal/>
    </border>
    <border>
      <left style="thin">
        <color theme="6" tint="0.39997558519241921"/>
      </left>
      <right/>
      <top style="thin">
        <color theme="6" tint="0.59996337778862885"/>
      </top>
      <bottom style="thin">
        <color theme="6" tint="0.59996337778862885"/>
      </bottom>
      <diagonal/>
    </border>
    <border>
      <left style="thin">
        <color theme="6" tint="0.39997558519241921"/>
      </left>
      <right style="thin">
        <color theme="6" tint="0.39997558519241921"/>
      </right>
      <top style="thin">
        <color theme="6" tint="0.59996337778862885"/>
      </top>
      <bottom style="thin">
        <color theme="6" tint="0.59996337778862885"/>
      </bottom>
      <diagonal/>
    </border>
    <border>
      <left/>
      <right/>
      <top/>
      <bottom style="thin">
        <color theme="4" tint="0.79998168889431442"/>
      </bottom>
      <diagonal/>
    </border>
    <border>
      <left/>
      <right/>
      <top style="thin">
        <color theme="4" tint="0.79998168889431442"/>
      </top>
      <bottom style="thin">
        <color theme="4" tint="0.79998168889431442"/>
      </bottom>
      <diagonal/>
    </border>
    <border>
      <left/>
      <right style="thin">
        <color theme="5" tint="0.39997558519241921"/>
      </right>
      <top style="thin">
        <color theme="5" tint="0.79998168889431442"/>
      </top>
      <bottom style="thin">
        <color theme="4" tint="0.59996337778862885"/>
      </bottom>
      <diagonal/>
    </border>
    <border>
      <left/>
      <right style="thin">
        <color theme="5" tint="0.39997558519241921"/>
      </right>
      <top style="thin">
        <color theme="5" tint="0.79998168889431442"/>
      </top>
      <bottom/>
      <diagonal/>
    </border>
    <border>
      <left/>
      <right/>
      <top style="thin">
        <color theme="5" tint="0.79998168889431442"/>
      </top>
      <bottom/>
      <diagonal/>
    </border>
    <border>
      <left style="thin">
        <color theme="5" tint="0.59999389629810485"/>
      </left>
      <right style="thin">
        <color theme="5" tint="0.39997558519241921"/>
      </right>
      <top style="thin">
        <color theme="5" tint="0.59996337778862885"/>
      </top>
      <bottom style="thin">
        <color theme="5" tint="0.59996337778862885"/>
      </bottom>
      <diagonal/>
    </border>
    <border>
      <left/>
      <right/>
      <top/>
      <bottom style="thin">
        <color theme="8" tint="0.79998168889431442"/>
      </bottom>
      <diagonal/>
    </border>
    <border>
      <left/>
      <right/>
      <top style="thin">
        <color theme="8" tint="0.79998168889431442"/>
      </top>
      <bottom style="thin">
        <color theme="8" tint="0.79998168889431442"/>
      </bottom>
      <diagonal/>
    </border>
    <border>
      <left/>
      <right/>
      <top style="thin">
        <color theme="8" tint="0.79998168889431442"/>
      </top>
      <bottom style="thin">
        <color theme="4" tint="0.79998168889431442"/>
      </bottom>
      <diagonal/>
    </border>
    <border>
      <left/>
      <right/>
      <top style="thin">
        <color theme="8" tint="0.79998168889431442"/>
      </top>
      <bottom/>
      <diagonal/>
    </border>
    <border>
      <left/>
      <right/>
      <top style="thin">
        <color theme="6" tint="0.79998168889431442"/>
      </top>
      <bottom style="thin">
        <color theme="4" tint="0.79998168889431442"/>
      </bottom>
      <diagonal/>
    </border>
    <border>
      <left/>
      <right/>
      <top style="thin">
        <color theme="6" tint="0.79998168889431442"/>
      </top>
      <bottom/>
      <diagonal/>
    </border>
    <border>
      <left/>
      <right/>
      <top/>
      <bottom style="thin">
        <color theme="1"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theme="4" tint="0.59999389629810485"/>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4" tint="0.59999389629810485"/>
      </right>
      <top/>
      <bottom/>
      <diagonal/>
    </border>
    <border>
      <left/>
      <right/>
      <top style="thin">
        <color theme="4" tint="0.79998168889431442"/>
      </top>
      <bottom/>
      <diagonal/>
    </border>
    <border>
      <left style="thin">
        <color theme="4" tint="0.59999389629810485"/>
      </left>
      <right style="thin">
        <color theme="4" tint="0.59999389629810485"/>
      </right>
      <top style="thin">
        <color theme="4" tint="0.59996337778862885"/>
      </top>
      <bottom/>
      <diagonal/>
    </border>
    <border>
      <left style="thin">
        <color theme="4" tint="0.59999389629810485"/>
      </left>
      <right style="medium">
        <color indexed="64"/>
      </right>
      <top style="medium">
        <color indexed="64"/>
      </top>
      <bottom style="medium">
        <color indexed="64"/>
      </bottom>
      <diagonal/>
    </border>
    <border>
      <left/>
      <right style="thin">
        <color theme="5" tint="0.39997558519241921"/>
      </right>
      <top/>
      <bottom/>
      <diagonal/>
    </border>
    <border>
      <left style="thin">
        <color theme="5" tint="0.39997558519241921"/>
      </left>
      <right style="thin">
        <color theme="5" tint="0.39997558519241921"/>
      </right>
      <top/>
      <bottom style="thin">
        <color theme="5" tint="0.59996337778862885"/>
      </bottom>
      <diagonal/>
    </border>
    <border>
      <left/>
      <right/>
      <top/>
      <bottom style="thin">
        <color theme="5" tint="0.59996337778862885"/>
      </bottom>
      <diagonal/>
    </border>
    <border>
      <left style="thin">
        <color theme="5" tint="0.39997558519241921"/>
      </left>
      <right style="thin">
        <color theme="5" tint="0.39997558519241921"/>
      </right>
      <top style="medium">
        <color indexed="64"/>
      </top>
      <bottom style="medium">
        <color indexed="64"/>
      </bottom>
      <diagonal/>
    </border>
    <border>
      <left style="thin">
        <color theme="5" tint="0.39997558519241921"/>
      </left>
      <right style="medium">
        <color indexed="64"/>
      </right>
      <top style="medium">
        <color indexed="64"/>
      </top>
      <bottom style="medium">
        <color indexed="64"/>
      </bottom>
      <diagonal/>
    </border>
    <border>
      <left style="thin">
        <color theme="5" tint="0.39997558519241921"/>
      </left>
      <right style="thin">
        <color theme="5" tint="0.39997558519241921"/>
      </right>
      <top style="thin">
        <color theme="5" tint="0.59996337778862885"/>
      </top>
      <bottom/>
      <diagonal/>
    </border>
    <border>
      <left style="thin">
        <color theme="5" tint="0.59999389629810485"/>
      </left>
      <right style="thin">
        <color theme="5" tint="0.39997558519241921"/>
      </right>
      <top style="thin">
        <color theme="5" tint="0.59996337778862885"/>
      </top>
      <bottom/>
      <diagonal/>
    </border>
    <border>
      <left/>
      <right style="thin">
        <color theme="5" tint="0.39997558519241921"/>
      </right>
      <top/>
      <bottom style="thin">
        <color theme="4" tint="0.59996337778862885"/>
      </bottom>
      <diagonal/>
    </border>
    <border>
      <left style="thin">
        <color theme="5" tint="0.59999389629810485"/>
      </left>
      <right style="thin">
        <color theme="5" tint="0.39997558519241921"/>
      </right>
      <top style="medium">
        <color indexed="64"/>
      </top>
      <bottom style="medium">
        <color indexed="64"/>
      </bottom>
      <diagonal/>
    </border>
    <border>
      <left/>
      <right/>
      <top/>
      <bottom style="thin">
        <color theme="6" tint="0.59996337778862885"/>
      </bottom>
      <diagonal/>
    </border>
    <border>
      <left style="thin">
        <color theme="6" tint="0.39997558519241921"/>
      </left>
      <right style="medium">
        <color indexed="64"/>
      </right>
      <top style="medium">
        <color indexed="64"/>
      </top>
      <bottom style="medium">
        <color indexed="64"/>
      </bottom>
      <diagonal/>
    </border>
    <border>
      <left/>
      <right/>
      <top style="thin">
        <color theme="6" tint="0.59996337778862885"/>
      </top>
      <bottom/>
      <diagonal/>
    </border>
    <border>
      <left style="thin">
        <color theme="6" tint="0.39997558519241921"/>
      </left>
      <right/>
      <top style="thin">
        <color theme="6" tint="0.59996337778862885"/>
      </top>
      <bottom/>
      <diagonal/>
    </border>
    <border>
      <left style="thin">
        <color theme="6" tint="0.39997558519241921"/>
      </left>
      <right style="thin">
        <color theme="6" tint="0.39997558519241921"/>
      </right>
      <top style="thin">
        <color theme="6" tint="0.59996337778862885"/>
      </top>
      <bottom/>
      <diagonal/>
    </border>
    <border>
      <left style="thin">
        <color theme="6" tint="0.39997558519241921"/>
      </left>
      <right/>
      <top/>
      <bottom style="thin">
        <color theme="6" tint="0.59996337778862885"/>
      </bottom>
      <diagonal/>
    </border>
    <border>
      <left/>
      <right style="thin">
        <color theme="8" tint="0.39997558519241921"/>
      </right>
      <top/>
      <bottom style="thin">
        <color theme="8" tint="0.59996337778862885"/>
      </bottom>
      <diagonal/>
    </border>
    <border>
      <left style="thin">
        <color theme="8" tint="0.39997558519241921"/>
      </left>
      <right style="thin">
        <color theme="8" tint="0.39997558519241921"/>
      </right>
      <top/>
      <bottom style="thin">
        <color theme="8" tint="0.59996337778862885"/>
      </bottom>
      <diagonal/>
    </border>
    <border>
      <left/>
      <right style="thin">
        <color theme="8" tint="0.39997558519241921"/>
      </right>
      <top style="medium">
        <color indexed="64"/>
      </top>
      <bottom style="medium">
        <color indexed="64"/>
      </bottom>
      <diagonal/>
    </border>
    <border>
      <left style="thin">
        <color theme="8" tint="0.39997558519241921"/>
      </left>
      <right style="medium">
        <color indexed="64"/>
      </right>
      <top style="medium">
        <color indexed="64"/>
      </top>
      <bottom style="medium">
        <color indexed="64"/>
      </bottom>
      <diagonal/>
    </border>
    <border>
      <left/>
      <right/>
      <top style="thin">
        <color theme="8" tint="0.59996337778862885"/>
      </top>
      <bottom/>
      <diagonal/>
    </border>
    <border>
      <left style="thin">
        <color theme="8" tint="0.39997558519241921"/>
      </left>
      <right style="thin">
        <color theme="8" tint="0.39997558519241921"/>
      </right>
      <top style="thin">
        <color theme="8" tint="0.59996337778862885"/>
      </top>
      <bottom/>
      <diagonal/>
    </border>
    <border>
      <left/>
      <right style="thin">
        <color theme="8" tint="0.39997558519241921"/>
      </right>
      <top style="thin">
        <color theme="8" tint="0.59996337778862885"/>
      </top>
      <bottom/>
      <diagonal/>
    </border>
    <border>
      <left/>
      <right/>
      <top/>
      <bottom style="thin">
        <color theme="8" tint="0.59996337778862885"/>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82">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7" fillId="0" borderId="0" xfId="3"/>
    <xf numFmtId="0" fontId="7" fillId="0" borderId="0" xfId="3" applyAlignment="1">
      <alignment wrapText="1"/>
    </xf>
    <xf numFmtId="0" fontId="7" fillId="0" borderId="0" xfId="0" applyFont="1" applyAlignment="1">
      <alignment horizontal="center"/>
    </xf>
    <xf numFmtId="0" fontId="3" fillId="0" borderId="0" xfId="0" applyFont="1" applyAlignment="1">
      <alignment horizontal="center" vertical="center"/>
    </xf>
    <xf numFmtId="0" fontId="8" fillId="0" borderId="0" xfId="0" applyFont="1"/>
    <xf numFmtId="0" fontId="4" fillId="0" borderId="0" xfId="0" applyFont="1"/>
    <xf numFmtId="9" fontId="1" fillId="6" borderId="0" xfId="2" applyFont="1" applyFill="1" applyBorder="1" applyAlignment="1">
      <alignment horizontal="center" vertical="center"/>
    </xf>
    <xf numFmtId="164" fontId="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0" xfId="0" applyFont="1" applyAlignment="1">
      <alignment vertical="center"/>
    </xf>
    <xf numFmtId="0" fontId="12" fillId="7" borderId="0" xfId="0" applyFont="1" applyFill="1" applyAlignment="1">
      <alignment horizontal="left" vertical="center" indent="1"/>
    </xf>
    <xf numFmtId="9" fontId="1" fillId="7" borderId="0" xfId="2" applyFont="1" applyFill="1" applyBorder="1" applyAlignment="1">
      <alignment horizontal="center" vertical="center"/>
    </xf>
    <xf numFmtId="164" fontId="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2" fillId="8" borderId="0" xfId="0" applyFont="1" applyFill="1" applyAlignment="1">
      <alignment horizontal="left" vertical="center" indent="1"/>
    </xf>
    <xf numFmtId="9" fontId="1" fillId="8" borderId="0" xfId="2" applyFont="1" applyFill="1" applyBorder="1" applyAlignment="1">
      <alignment horizontal="center" vertical="center"/>
    </xf>
    <xf numFmtId="164" fontId="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2" fillId="9" borderId="0" xfId="0" applyFont="1" applyFill="1" applyAlignment="1">
      <alignment horizontal="left" vertical="center" indent="1"/>
    </xf>
    <xf numFmtId="9" fontId="1" fillId="9" borderId="0" xfId="2" applyFont="1" applyFill="1" applyBorder="1" applyAlignment="1">
      <alignment horizontal="center" vertical="center"/>
    </xf>
    <xf numFmtId="164" fontId="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13" fillId="2" borderId="0" xfId="0" applyFont="1" applyFill="1" applyAlignment="1">
      <alignment horizontal="left" vertical="center" indent="1"/>
    </xf>
    <xf numFmtId="9" fontId="1" fillId="2" borderId="0" xfId="2" applyFont="1" applyFill="1" applyBorder="1" applyAlignment="1">
      <alignment horizontal="center" vertical="center"/>
    </xf>
    <xf numFmtId="164" fontId="14"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15" fillId="0" borderId="0" xfId="6" applyFont="1" applyAlignment="1">
      <alignment horizontal="left" vertical="center" indent="1"/>
    </xf>
    <xf numFmtId="0" fontId="10" fillId="11" borderId="7" xfId="0" applyFont="1" applyFill="1" applyBorder="1" applyAlignment="1">
      <alignment horizontal="center" vertical="center"/>
    </xf>
    <xf numFmtId="0" fontId="10" fillId="11" borderId="7" xfId="0" applyFont="1" applyFill="1" applyBorder="1" applyAlignment="1">
      <alignment horizontal="center" vertical="center" wrapText="1"/>
    </xf>
    <xf numFmtId="0" fontId="9" fillId="12" borderId="4" xfId="11" applyFont="1" applyFill="1" applyBorder="1">
      <alignment horizontal="center" vertical="center"/>
    </xf>
    <xf numFmtId="0" fontId="9" fillId="12" borderId="20" xfId="11" applyFont="1" applyFill="1" applyBorder="1">
      <alignment horizontal="center" vertical="center"/>
    </xf>
    <xf numFmtId="0" fontId="9" fillId="12" borderId="0" xfId="11" applyFont="1" applyFill="1" applyBorder="1">
      <alignment horizontal="center" vertical="center"/>
    </xf>
    <xf numFmtId="0" fontId="9" fillId="12" borderId="21" xfId="11" applyFont="1" applyFill="1" applyBorder="1">
      <alignment horizontal="center" vertical="center"/>
    </xf>
    <xf numFmtId="0" fontId="9" fillId="13" borderId="0" xfId="11" applyFont="1" applyFill="1" applyBorder="1">
      <alignment horizontal="center" vertical="center"/>
    </xf>
    <xf numFmtId="0" fontId="9" fillId="13" borderId="22" xfId="11" applyFont="1" applyFill="1" applyBorder="1">
      <alignment horizontal="center" vertical="center"/>
    </xf>
    <xf numFmtId="0" fontId="9" fillId="13" borderId="23" xfId="11" applyFont="1" applyFill="1" applyBorder="1">
      <alignment horizontal="center" vertical="center"/>
    </xf>
    <xf numFmtId="0" fontId="9" fillId="13" borderId="24" xfId="11" applyFont="1" applyFill="1" applyBorder="1">
      <alignment horizontal="center" vertical="center"/>
    </xf>
    <xf numFmtId="0" fontId="9" fillId="15" borderId="26" xfId="11" applyFont="1" applyFill="1" applyBorder="1">
      <alignment horizontal="center" vertical="center"/>
    </xf>
    <xf numFmtId="0" fontId="9" fillId="15" borderId="27" xfId="11" applyFont="1" applyFill="1" applyBorder="1">
      <alignment horizontal="center" vertical="center"/>
    </xf>
    <xf numFmtId="0" fontId="9" fillId="15" borderId="0" xfId="11" applyFont="1" applyFill="1" applyBorder="1">
      <alignment horizontal="center" vertical="center"/>
    </xf>
    <xf numFmtId="0" fontId="9" fillId="15" borderId="28" xfId="11" applyFont="1" applyFill="1" applyBorder="1">
      <alignment horizontal="center" vertical="center"/>
    </xf>
    <xf numFmtId="0" fontId="9" fillId="15" borderId="29" xfId="11" applyFont="1" applyFill="1" applyBorder="1">
      <alignment horizontal="center" vertical="center"/>
    </xf>
    <xf numFmtId="0" fontId="9" fillId="14" borderId="0" xfId="11" applyFont="1" applyFill="1" applyBorder="1">
      <alignment horizontal="center" vertical="center"/>
    </xf>
    <xf numFmtId="0" fontId="9" fillId="14" borderId="30" xfId="11" applyFont="1" applyFill="1" applyBorder="1">
      <alignment horizontal="center" vertical="center"/>
    </xf>
    <xf numFmtId="0" fontId="9" fillId="14" borderId="31" xfId="11" applyFont="1" applyFill="1" applyBorder="1">
      <alignment horizontal="center" vertical="center"/>
    </xf>
    <xf numFmtId="0" fontId="9" fillId="3" borderId="8" xfId="10" applyNumberFormat="1" applyFont="1" applyFill="1" applyBorder="1">
      <alignment horizontal="center" vertical="center"/>
    </xf>
    <xf numFmtId="0" fontId="9" fillId="3" borderId="10" xfId="10" applyNumberFormat="1" applyFont="1" applyFill="1" applyBorder="1">
      <alignment horizontal="center" vertical="center"/>
    </xf>
    <xf numFmtId="0" fontId="9" fillId="3" borderId="4" xfId="10" applyNumberFormat="1" applyFont="1" applyFill="1" applyBorder="1">
      <alignment horizontal="center" vertical="center"/>
    </xf>
    <xf numFmtId="0" fontId="9" fillId="3" borderId="9" xfId="10" applyNumberFormat="1" applyFont="1" applyFill="1" applyBorder="1">
      <alignment horizontal="center" vertical="center"/>
    </xf>
    <xf numFmtId="0" fontId="9" fillId="3" borderId="11" xfId="10" applyNumberFormat="1" applyFont="1" applyFill="1" applyBorder="1">
      <alignment horizontal="center" vertical="center"/>
    </xf>
    <xf numFmtId="0" fontId="9" fillId="4" borderId="14" xfId="10" applyNumberFormat="1" applyFont="1" applyFill="1" applyBorder="1">
      <alignment horizontal="center" vertical="center"/>
    </xf>
    <xf numFmtId="0" fontId="9" fillId="4" borderId="12" xfId="10" applyNumberFormat="1" applyFont="1" applyFill="1" applyBorder="1">
      <alignment horizontal="center" vertical="center"/>
    </xf>
    <xf numFmtId="0" fontId="9" fillId="4" borderId="13" xfId="10" applyNumberFormat="1" applyFont="1" applyFill="1" applyBorder="1">
      <alignment horizontal="center" vertical="center"/>
    </xf>
    <xf numFmtId="0" fontId="9" fillId="4" borderId="3" xfId="10" applyNumberFormat="1" applyFont="1" applyFill="1" applyBorder="1">
      <alignment horizontal="center" vertical="center"/>
    </xf>
    <xf numFmtId="0" fontId="9" fillId="4" borderId="25" xfId="10" applyNumberFormat="1" applyFont="1" applyFill="1" applyBorder="1">
      <alignment horizontal="center" vertical="center"/>
    </xf>
    <xf numFmtId="0" fontId="9" fillId="5" borderId="5" xfId="10" applyNumberFormat="1" applyFont="1" applyFill="1" applyBorder="1">
      <alignment horizontal="center" vertical="center"/>
    </xf>
    <xf numFmtId="0" fontId="9" fillId="5" borderId="18" xfId="10" applyNumberFormat="1" applyFont="1" applyFill="1" applyBorder="1">
      <alignment horizontal="center" vertical="center"/>
    </xf>
    <xf numFmtId="0" fontId="9" fillId="5" borderId="19" xfId="10" applyNumberFormat="1" applyFont="1" applyFill="1" applyBorder="1">
      <alignment horizontal="center" vertical="center"/>
    </xf>
    <xf numFmtId="0" fontId="9" fillId="10" borderId="16" xfId="10" applyNumberFormat="1" applyFont="1" applyFill="1" applyBorder="1">
      <alignment horizontal="center" vertical="center"/>
    </xf>
    <xf numFmtId="0" fontId="9" fillId="10" borderId="6" xfId="10" applyNumberFormat="1" applyFont="1" applyFill="1" applyBorder="1">
      <alignment horizontal="center" vertical="center"/>
    </xf>
    <xf numFmtId="0" fontId="9" fillId="10" borderId="17" xfId="10" applyNumberFormat="1" applyFont="1" applyFill="1" applyBorder="1">
      <alignment horizontal="center" vertical="center"/>
    </xf>
    <xf numFmtId="0" fontId="9" fillId="10" borderId="15" xfId="10" applyNumberFormat="1" applyFont="1" applyFill="1" applyBorder="1">
      <alignment horizontal="center" vertical="center"/>
    </xf>
    <xf numFmtId="0" fontId="19" fillId="10" borderId="0" xfId="0" applyFont="1" applyFill="1" applyAlignment="1">
      <alignment horizontal="left" vertical="center" indent="1"/>
    </xf>
    <xf numFmtId="0" fontId="19" fillId="5" borderId="0" xfId="0" applyFont="1" applyFill="1" applyAlignment="1">
      <alignment horizontal="left" vertical="center" indent="1"/>
    </xf>
    <xf numFmtId="0" fontId="19" fillId="4" borderId="0" xfId="0" applyFont="1" applyFill="1" applyAlignment="1">
      <alignment horizontal="left" vertical="center" indent="1"/>
    </xf>
    <xf numFmtId="0" fontId="19" fillId="3" borderId="0" xfId="0" applyFont="1" applyFill="1" applyAlignment="1">
      <alignment horizontal="left" vertical="center" indent="1"/>
    </xf>
    <xf numFmtId="9" fontId="20" fillId="6" borderId="0" xfId="2" applyFont="1" applyFill="1" applyBorder="1" applyAlignment="1">
      <alignment horizontal="left" vertical="center"/>
    </xf>
    <xf numFmtId="166" fontId="11" fillId="0" borderId="0" xfId="0" applyNumberFormat="1" applyFont="1" applyAlignment="1">
      <alignment horizontal="center" vertical="center"/>
    </xf>
    <xf numFmtId="0" fontId="4" fillId="0" borderId="0" xfId="0" applyFont="1" applyAlignment="1">
      <alignment horizontal="right" vertical="center"/>
    </xf>
    <xf numFmtId="0" fontId="18" fillId="0" borderId="0" xfId="5" applyFont="1" applyAlignment="1">
      <alignment horizontal="left" vertical="center" wrapText="1"/>
    </xf>
    <xf numFmtId="0" fontId="10" fillId="11" borderId="7" xfId="0" applyFont="1" applyFill="1" applyBorder="1" applyAlignment="1">
      <alignment vertical="center"/>
    </xf>
    <xf numFmtId="0" fontId="10" fillId="11" borderId="7" xfId="0" applyFont="1" applyFill="1" applyBorder="1" applyAlignment="1">
      <alignment horizontal="left" vertical="center"/>
    </xf>
    <xf numFmtId="14" fontId="10" fillId="11" borderId="7" xfId="0" applyNumberFormat="1" applyFont="1" applyFill="1" applyBorder="1" applyAlignment="1">
      <alignment horizontal="center" vertical="center" wrapText="1"/>
    </xf>
    <xf numFmtId="0" fontId="22" fillId="0" borderId="0" xfId="0" applyFont="1"/>
    <xf numFmtId="0" fontId="23" fillId="0" borderId="0" xfId="5" applyFont="1" applyAlignment="1">
      <alignment horizontal="center" vertical="center" wrapText="1"/>
    </xf>
    <xf numFmtId="0" fontId="3" fillId="0" borderId="0" xfId="0" applyFont="1" applyAlignment="1">
      <alignment vertical="center"/>
    </xf>
    <xf numFmtId="0" fontId="24" fillId="0" borderId="33" xfId="3" applyFont="1" applyBorder="1" applyAlignment="1">
      <alignment wrapText="1"/>
    </xf>
    <xf numFmtId="0" fontId="19" fillId="3" borderId="34" xfId="0" applyFont="1" applyFill="1" applyBorder="1" applyAlignment="1">
      <alignment horizontal="left" vertical="center" indent="1"/>
    </xf>
    <xf numFmtId="0" fontId="9" fillId="12" borderId="34" xfId="11" applyFont="1" applyFill="1" applyBorder="1">
      <alignment horizontal="center" vertical="center"/>
    </xf>
    <xf numFmtId="0" fontId="9" fillId="3" borderId="35" xfId="10" applyNumberFormat="1" applyFont="1" applyFill="1" applyBorder="1">
      <alignment horizontal="center" vertical="center"/>
    </xf>
    <xf numFmtId="0" fontId="9" fillId="3" borderId="36" xfId="10" applyNumberFormat="1" applyFont="1" applyFill="1" applyBorder="1">
      <alignment horizontal="center" vertical="center"/>
    </xf>
    <xf numFmtId="0" fontId="9" fillId="3" borderId="37" xfId="10" applyNumberFormat="1" applyFont="1" applyFill="1" applyBorder="1">
      <alignment horizontal="center" vertical="center"/>
    </xf>
    <xf numFmtId="0" fontId="9" fillId="12" borderId="38" xfId="11" applyFont="1" applyFill="1" applyBorder="1">
      <alignment horizontal="center" vertical="center"/>
    </xf>
    <xf numFmtId="0" fontId="9" fillId="3" borderId="0" xfId="10" applyNumberFormat="1" applyFont="1" applyFill="1" applyBorder="1">
      <alignment horizontal="center" vertical="center"/>
    </xf>
    <xf numFmtId="0" fontId="9" fillId="3" borderId="39" xfId="10" applyNumberFormat="1" applyFont="1" applyFill="1" applyBorder="1">
      <alignment horizontal="center" vertical="center"/>
    </xf>
    <xf numFmtId="0" fontId="9" fillId="3" borderId="34" xfId="10" applyNumberFormat="1" applyFont="1" applyFill="1" applyBorder="1">
      <alignment horizontal="center" vertical="center"/>
    </xf>
    <xf numFmtId="0" fontId="9" fillId="3" borderId="40" xfId="10" applyNumberFormat="1" applyFont="1" applyFill="1" applyBorder="1">
      <alignment horizontal="center" vertical="center"/>
    </xf>
    <xf numFmtId="0" fontId="9" fillId="13" borderId="41" xfId="11" applyFont="1" applyFill="1" applyBorder="1">
      <alignment horizontal="center" vertical="center"/>
    </xf>
    <xf numFmtId="0" fontId="9" fillId="4" borderId="42" xfId="10" applyNumberFormat="1" applyFont="1" applyFill="1" applyBorder="1">
      <alignment horizontal="center" vertical="center"/>
    </xf>
    <xf numFmtId="0" fontId="9" fillId="4" borderId="43" xfId="10" applyNumberFormat="1" applyFont="1" applyFill="1" applyBorder="1">
      <alignment horizontal="center" vertical="center"/>
    </xf>
    <xf numFmtId="0" fontId="19" fillId="4" borderId="34" xfId="0" applyFont="1" applyFill="1" applyBorder="1" applyAlignment="1">
      <alignment horizontal="left" vertical="center" indent="1"/>
    </xf>
    <xf numFmtId="0" fontId="9" fillId="13" borderId="34" xfId="11" applyFont="1" applyFill="1" applyBorder="1">
      <alignment horizontal="center" vertical="center"/>
    </xf>
    <xf numFmtId="0" fontId="9" fillId="4" borderId="44" xfId="10" applyNumberFormat="1" applyFont="1" applyFill="1" applyBorder="1">
      <alignment horizontal="center" vertical="center"/>
    </xf>
    <xf numFmtId="0" fontId="9" fillId="4" borderId="45" xfId="10" applyNumberFormat="1" applyFont="1" applyFill="1" applyBorder="1">
      <alignment horizontal="center" vertical="center"/>
    </xf>
    <xf numFmtId="0" fontId="9" fillId="4" borderId="46" xfId="10" applyNumberFormat="1" applyFont="1" applyFill="1" applyBorder="1">
      <alignment horizontal="center" vertical="center"/>
    </xf>
    <xf numFmtId="0" fontId="9" fillId="4" borderId="47" xfId="10" applyNumberFormat="1" applyFont="1" applyFill="1" applyBorder="1">
      <alignment horizontal="center" vertical="center"/>
    </xf>
    <xf numFmtId="0" fontId="9" fillId="13" borderId="48" xfId="11" applyFont="1" applyFill="1" applyBorder="1">
      <alignment horizontal="center" vertical="center"/>
    </xf>
    <xf numFmtId="0" fontId="9" fillId="4" borderId="49" xfId="10" applyNumberFormat="1" applyFont="1" applyFill="1" applyBorder="1">
      <alignment horizontal="center" vertical="center"/>
    </xf>
    <xf numFmtId="0" fontId="9" fillId="5" borderId="50" xfId="10" applyNumberFormat="1" applyFont="1" applyFill="1" applyBorder="1">
      <alignment horizontal="center" vertical="center"/>
    </xf>
    <xf numFmtId="0" fontId="19" fillId="5" borderId="34" xfId="0" applyFont="1" applyFill="1" applyBorder="1" applyAlignment="1">
      <alignment horizontal="left" vertical="center" indent="1"/>
    </xf>
    <xf numFmtId="0" fontId="9" fillId="14" borderId="34" xfId="11" applyFont="1" applyFill="1" applyBorder="1">
      <alignment horizontal="center" vertical="center"/>
    </xf>
    <xf numFmtId="0" fontId="9" fillId="5" borderId="34" xfId="10" applyNumberFormat="1" applyFont="1" applyFill="1" applyBorder="1">
      <alignment horizontal="center" vertical="center"/>
    </xf>
    <xf numFmtId="0" fontId="9" fillId="5" borderId="51" xfId="10" applyNumberFormat="1" applyFont="1" applyFill="1" applyBorder="1">
      <alignment horizontal="center" vertical="center"/>
    </xf>
    <xf numFmtId="0" fontId="9" fillId="5" borderId="52" xfId="10" applyNumberFormat="1" applyFont="1" applyFill="1" applyBorder="1">
      <alignment horizontal="center" vertical="center"/>
    </xf>
    <xf numFmtId="0" fontId="9" fillId="5" borderId="53" xfId="10" applyNumberFormat="1" applyFont="1" applyFill="1" applyBorder="1">
      <alignment horizontal="center" vertical="center"/>
    </xf>
    <xf numFmtId="0" fontId="9" fillId="5" borderId="54" xfId="10" applyNumberFormat="1" applyFont="1" applyFill="1" applyBorder="1">
      <alignment horizontal="center" vertical="center"/>
    </xf>
    <xf numFmtId="0" fontId="9" fillId="14" borderId="20" xfId="11" applyFont="1" applyFill="1" applyBorder="1">
      <alignment horizontal="center" vertical="center"/>
    </xf>
    <xf numFmtId="0" fontId="9" fillId="5" borderId="55" xfId="10" applyNumberFormat="1" applyFont="1" applyFill="1" applyBorder="1">
      <alignment horizontal="center" vertical="center"/>
    </xf>
    <xf numFmtId="0" fontId="9" fillId="10" borderId="56" xfId="10" applyNumberFormat="1" applyFont="1" applyFill="1" applyBorder="1">
      <alignment horizontal="center" vertical="center"/>
    </xf>
    <xf numFmtId="0" fontId="9" fillId="10" borderId="57" xfId="10" applyNumberFormat="1" applyFont="1" applyFill="1" applyBorder="1">
      <alignment horizontal="center" vertical="center"/>
    </xf>
    <xf numFmtId="0" fontId="19" fillId="10" borderId="34" xfId="0" applyFont="1" applyFill="1" applyBorder="1" applyAlignment="1">
      <alignment horizontal="left" vertical="center" indent="1"/>
    </xf>
    <xf numFmtId="0" fontId="9" fillId="15" borderId="34" xfId="11" applyFont="1" applyFill="1" applyBorder="1">
      <alignment horizontal="center" vertical="center"/>
    </xf>
    <xf numFmtId="0" fontId="9" fillId="10" borderId="58" xfId="10" applyNumberFormat="1" applyFont="1" applyFill="1" applyBorder="1">
      <alignment horizontal="center" vertical="center"/>
    </xf>
    <xf numFmtId="0" fontId="9" fillId="10" borderId="59" xfId="10" applyNumberFormat="1" applyFont="1" applyFill="1" applyBorder="1">
      <alignment horizontal="center" vertical="center"/>
    </xf>
    <xf numFmtId="0" fontId="9" fillId="10" borderId="60" xfId="10" applyNumberFormat="1" applyFont="1" applyFill="1" applyBorder="1">
      <alignment horizontal="center" vertical="center"/>
    </xf>
    <xf numFmtId="0" fontId="9" fillId="10" borderId="61" xfId="10" applyNumberFormat="1" applyFont="1" applyFill="1" applyBorder="1">
      <alignment horizontal="center" vertical="center"/>
    </xf>
    <xf numFmtId="0" fontId="9" fillId="10" borderId="62" xfId="10" applyNumberFormat="1" applyFont="1" applyFill="1" applyBorder="1">
      <alignment horizontal="center" vertical="center"/>
    </xf>
    <xf numFmtId="0" fontId="9" fillId="15" borderId="20" xfId="11" applyFont="1" applyFill="1" applyBorder="1">
      <alignment horizontal="center" vertical="center"/>
    </xf>
    <xf numFmtId="0" fontId="9" fillId="10" borderId="63" xfId="10" applyNumberFormat="1" applyFont="1" applyFill="1" applyBorder="1">
      <alignment horizontal="center" vertical="center"/>
    </xf>
    <xf numFmtId="0" fontId="9" fillId="10" borderId="34" xfId="10" applyNumberFormat="1" applyFont="1" applyFill="1" applyBorder="1">
      <alignment horizontal="center" vertical="center"/>
    </xf>
    <xf numFmtId="0" fontId="19" fillId="13" borderId="34" xfId="0" applyFont="1" applyFill="1" applyBorder="1" applyAlignment="1">
      <alignment horizontal="left" vertical="center" indent="1"/>
    </xf>
    <xf numFmtId="0" fontId="9" fillId="13" borderId="35" xfId="10" applyNumberFormat="1" applyFont="1" applyFill="1" applyBorder="1">
      <alignment horizontal="center" vertical="center"/>
    </xf>
    <xf numFmtId="0" fontId="9" fillId="13" borderId="36" xfId="10" applyNumberFormat="1" applyFont="1" applyFill="1" applyBorder="1">
      <alignment horizontal="center" vertical="center"/>
    </xf>
    <xf numFmtId="0" fontId="19" fillId="13" borderId="0" xfId="0" applyFont="1" applyFill="1" applyAlignment="1">
      <alignment horizontal="left" vertical="center" indent="1"/>
    </xf>
    <xf numFmtId="0" fontId="9" fillId="13" borderId="20" xfId="11" applyFont="1" applyFill="1" applyBorder="1">
      <alignment horizontal="center" vertical="center"/>
    </xf>
    <xf numFmtId="0" fontId="9" fillId="13" borderId="8" xfId="10" applyNumberFormat="1" applyFont="1" applyFill="1" applyBorder="1">
      <alignment horizontal="center" vertical="center"/>
    </xf>
    <xf numFmtId="0" fontId="9" fillId="13" borderId="37" xfId="10" applyNumberFormat="1" applyFont="1" applyFill="1" applyBorder="1">
      <alignment horizontal="center" vertical="center"/>
    </xf>
    <xf numFmtId="0" fontId="9" fillId="13" borderId="4" xfId="10" applyNumberFormat="1" applyFont="1" applyFill="1" applyBorder="1">
      <alignment horizontal="center" vertical="center"/>
    </xf>
    <xf numFmtId="0" fontId="9" fillId="13" borderId="10" xfId="10" applyNumberFormat="1" applyFont="1" applyFill="1" applyBorder="1">
      <alignment horizontal="center" vertical="center"/>
    </xf>
    <xf numFmtId="0" fontId="9" fillId="13" borderId="38" xfId="11" applyFont="1" applyFill="1" applyBorder="1">
      <alignment horizontal="center" vertical="center"/>
    </xf>
    <xf numFmtId="0" fontId="9" fillId="13" borderId="0" xfId="10" applyNumberFormat="1" applyFont="1" applyFill="1" applyBorder="1">
      <alignment horizontal="center" vertical="center"/>
    </xf>
    <xf numFmtId="0" fontId="9" fillId="13" borderId="39" xfId="10" applyNumberFormat="1" applyFont="1" applyFill="1" applyBorder="1">
      <alignment horizontal="center" vertical="center"/>
    </xf>
    <xf numFmtId="0" fontId="9" fillId="13" borderId="34" xfId="10" applyNumberFormat="1" applyFont="1" applyFill="1" applyBorder="1">
      <alignment horizontal="center" vertical="center"/>
    </xf>
    <xf numFmtId="0" fontId="9" fillId="13" borderId="40" xfId="10" applyNumberFormat="1" applyFont="1" applyFill="1" applyBorder="1">
      <alignment horizontal="center" vertical="center"/>
    </xf>
    <xf numFmtId="0" fontId="9" fillId="13" borderId="4" xfId="11" applyFont="1" applyFill="1" applyBorder="1">
      <alignment horizontal="center" vertical="center"/>
    </xf>
    <xf numFmtId="0" fontId="19" fillId="14" borderId="34" xfId="0" applyFont="1" applyFill="1" applyBorder="1" applyAlignment="1">
      <alignment horizontal="left" vertical="center" indent="1"/>
    </xf>
    <xf numFmtId="0" fontId="9" fillId="14" borderId="35" xfId="10" applyNumberFormat="1" applyFont="1" applyFill="1" applyBorder="1">
      <alignment horizontal="center" vertical="center"/>
    </xf>
    <xf numFmtId="0" fontId="9" fillId="14" borderId="36" xfId="10" applyNumberFormat="1" applyFont="1" applyFill="1" applyBorder="1">
      <alignment horizontal="center" vertical="center"/>
    </xf>
    <xf numFmtId="0" fontId="19" fillId="14" borderId="0" xfId="0" applyFont="1" applyFill="1" applyAlignment="1">
      <alignment horizontal="left" vertical="center" indent="1"/>
    </xf>
    <xf numFmtId="0" fontId="9" fillId="14" borderId="8" xfId="10" applyNumberFormat="1" applyFont="1" applyFill="1" applyBorder="1">
      <alignment horizontal="center" vertical="center"/>
    </xf>
    <xf numFmtId="0" fontId="9" fillId="14" borderId="37" xfId="10" applyNumberFormat="1" applyFont="1" applyFill="1" applyBorder="1">
      <alignment horizontal="center" vertical="center"/>
    </xf>
    <xf numFmtId="0" fontId="9" fillId="14" borderId="4" xfId="10" applyNumberFormat="1" applyFont="1" applyFill="1" applyBorder="1">
      <alignment horizontal="center" vertical="center"/>
    </xf>
    <xf numFmtId="0" fontId="9" fillId="14" borderId="10" xfId="10" applyNumberFormat="1" applyFont="1" applyFill="1" applyBorder="1">
      <alignment horizontal="center" vertical="center"/>
    </xf>
    <xf numFmtId="0" fontId="9" fillId="14" borderId="38" xfId="11" applyFont="1" applyFill="1" applyBorder="1">
      <alignment horizontal="center" vertical="center"/>
    </xf>
    <xf numFmtId="0" fontId="9" fillId="14" borderId="0" xfId="10" applyNumberFormat="1" applyFont="1" applyFill="1" applyBorder="1">
      <alignment horizontal="center" vertical="center"/>
    </xf>
    <xf numFmtId="0" fontId="9" fillId="14" borderId="39" xfId="10" applyNumberFormat="1" applyFont="1" applyFill="1" applyBorder="1">
      <alignment horizontal="center" vertical="center"/>
    </xf>
    <xf numFmtId="0" fontId="9" fillId="14" borderId="34" xfId="10" applyNumberFormat="1" applyFont="1" applyFill="1" applyBorder="1">
      <alignment horizontal="center" vertical="center"/>
    </xf>
    <xf numFmtId="0" fontId="9" fillId="14" borderId="40" xfId="10" applyNumberFormat="1" applyFont="1" applyFill="1" applyBorder="1">
      <alignment horizontal="center" vertical="center"/>
    </xf>
    <xf numFmtId="0" fontId="9" fillId="14" borderId="4" xfId="11" applyFont="1" applyFill="1" applyBorder="1">
      <alignment horizontal="center" vertical="center"/>
    </xf>
    <xf numFmtId="0" fontId="19" fillId="15" borderId="34" xfId="0" applyFont="1" applyFill="1" applyBorder="1" applyAlignment="1">
      <alignment horizontal="left" vertical="center" indent="1"/>
    </xf>
    <xf numFmtId="0" fontId="9" fillId="15" borderId="35" xfId="10" applyNumberFormat="1" applyFont="1" applyFill="1" applyBorder="1">
      <alignment horizontal="center" vertical="center"/>
    </xf>
    <xf numFmtId="0" fontId="9" fillId="15" borderId="36" xfId="10" applyNumberFormat="1" applyFont="1" applyFill="1" applyBorder="1">
      <alignment horizontal="center" vertical="center"/>
    </xf>
    <xf numFmtId="0" fontId="19" fillId="15" borderId="0" xfId="0" applyFont="1" applyFill="1" applyAlignment="1">
      <alignment horizontal="left" vertical="center" indent="1"/>
    </xf>
    <xf numFmtId="0" fontId="9" fillId="15" borderId="8" xfId="10" applyNumberFormat="1" applyFont="1" applyFill="1" applyBorder="1">
      <alignment horizontal="center" vertical="center"/>
    </xf>
    <xf numFmtId="0" fontId="9" fillId="15" borderId="37" xfId="10" applyNumberFormat="1" applyFont="1" applyFill="1" applyBorder="1">
      <alignment horizontal="center" vertical="center"/>
    </xf>
    <xf numFmtId="0" fontId="9" fillId="15" borderId="4" xfId="10" applyNumberFormat="1" applyFont="1" applyFill="1" applyBorder="1">
      <alignment horizontal="center" vertical="center"/>
    </xf>
    <xf numFmtId="0" fontId="9" fillId="15" borderId="10" xfId="10" applyNumberFormat="1" applyFont="1" applyFill="1" applyBorder="1">
      <alignment horizontal="center" vertical="center"/>
    </xf>
    <xf numFmtId="0" fontId="9" fillId="15" borderId="38" xfId="11" applyFont="1" applyFill="1" applyBorder="1">
      <alignment horizontal="center" vertical="center"/>
    </xf>
    <xf numFmtId="0" fontId="9" fillId="15" borderId="0" xfId="10" applyNumberFormat="1" applyFont="1" applyFill="1" applyBorder="1">
      <alignment horizontal="center" vertical="center"/>
    </xf>
    <xf numFmtId="0" fontId="9" fillId="15" borderId="39" xfId="10" applyNumberFormat="1" applyFont="1" applyFill="1" applyBorder="1">
      <alignment horizontal="center" vertical="center"/>
    </xf>
    <xf numFmtId="0" fontId="9" fillId="15" borderId="34" xfId="10" applyNumberFormat="1" applyFont="1" applyFill="1" applyBorder="1">
      <alignment horizontal="center" vertical="center"/>
    </xf>
    <xf numFmtId="0" fontId="9" fillId="15" borderId="40" xfId="10" applyNumberFormat="1" applyFont="1" applyFill="1" applyBorder="1">
      <alignment horizontal="center" vertical="center"/>
    </xf>
    <xf numFmtId="0" fontId="9" fillId="15" borderId="4" xfId="11" applyFont="1" applyFill="1" applyBorder="1">
      <alignment horizontal="center" vertical="center"/>
    </xf>
    <xf numFmtId="0" fontId="4" fillId="0" borderId="0" xfId="0" applyFont="1" applyAlignment="1">
      <alignment horizontal="left" vertical="center" wrapText="1"/>
    </xf>
    <xf numFmtId="0" fontId="4" fillId="0" borderId="0" xfId="0" applyFont="1" applyAlignment="1">
      <alignment horizontal="left" vertical="center" wrapText="1"/>
    </xf>
    <xf numFmtId="165" fontId="16" fillId="0" borderId="0" xfId="9" applyFont="1" applyBorder="1" applyAlignment="1">
      <alignment horizontal="left"/>
    </xf>
    <xf numFmtId="0" fontId="17" fillId="0" borderId="0" xfId="0" applyFont="1"/>
    <xf numFmtId="0" fontId="15" fillId="0" borderId="0" xfId="8" applyFont="1" applyAlignment="1">
      <alignment horizontal="left"/>
    </xf>
    <xf numFmtId="0" fontId="4" fillId="0" borderId="0" xfId="0" applyFont="1"/>
    <xf numFmtId="0" fontId="15" fillId="0" borderId="0" xfId="8" applyFont="1" applyFill="1" applyAlignment="1">
      <alignment horizontal="left"/>
    </xf>
    <xf numFmtId="0" fontId="16" fillId="0" borderId="0" xfId="0" applyFont="1" applyAlignment="1">
      <alignment horizontal="left"/>
    </xf>
    <xf numFmtId="0" fontId="12" fillId="0" borderId="0" xfId="0" applyFont="1" applyAlignment="1">
      <alignment horizontal="left" vertical="top" wrapText="1"/>
    </xf>
    <xf numFmtId="0" fontId="12" fillId="0" borderId="32" xfId="0" applyFont="1" applyBorder="1" applyAlignment="1">
      <alignment horizontal="left" vertical="top" wrapText="1"/>
    </xf>
    <xf numFmtId="0" fontId="12" fillId="0" borderId="0" xfId="0" applyFont="1" applyAlignment="1">
      <alignment horizontal="left" vertical="center" wrapText="1"/>
    </xf>
    <xf numFmtId="0" fontId="12" fillId="0" borderId="32" xfId="0" applyFont="1" applyBorder="1" applyAlignment="1">
      <alignment horizontal="left" vertical="center" wrapText="1"/>
    </xf>
    <xf numFmtId="0" fontId="4" fillId="0" borderId="0" xfId="0" applyFont="1" applyAlignment="1">
      <alignment horizontal="left" vertical="top"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41">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tint="0.59996337778862885"/>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0"/>
      <tableStyleElement type="headerRow" dxfId="39"/>
      <tableStyleElement type="totalRow" dxfId="38"/>
      <tableStyleElement type="firstColumn" dxfId="37"/>
      <tableStyleElement type="lastColumn" dxfId="36"/>
      <tableStyleElement type="firstRowStripe" dxfId="35"/>
      <tableStyleElement type="secondRowStripe" dxfId="34"/>
      <tableStyleElement type="firstColumnStripe" dxfId="33"/>
      <tableStyleElement type="secondColumnStripe" dxfId="3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4A6F9C"/>
      <color rgb="FF215881"/>
      <color rgb="FF42648A"/>
      <color rgb="FF969696"/>
      <color rgb="FFC0C0C0"/>
      <color rgb="FF427FC2"/>
      <color rgb="FF44678E"/>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11</xdr:col>
      <xdr:colOff>133350</xdr:colOff>
      <xdr:row>0</xdr:row>
      <xdr:rowOff>161925</xdr:rowOff>
    </xdr:from>
    <xdr:to>
      <xdr:col>36</xdr:col>
      <xdr:colOff>179445</xdr:colOff>
      <xdr:row>0</xdr:row>
      <xdr:rowOff>207644</xdr:rowOff>
    </xdr:to>
    <xdr:sp macro="" textlink="">
      <xdr:nvSpPr>
        <xdr:cNvPr id="3" name="Rectangle 2">
          <a:extLst>
            <a:ext uri="{FF2B5EF4-FFF2-40B4-BE49-F238E27FC236}">
              <a16:creationId xmlns:a16="http://schemas.microsoft.com/office/drawing/2014/main" id="{533F99B5-7FC8-4758-3BFA-35533D5D794B}"/>
            </a:ext>
          </a:extLst>
        </xdr:cNvPr>
        <xdr:cNvSpPr>
          <a:spLocks noChangeArrowheads="1"/>
        </xdr:cNvSpPr>
      </xdr:nvSpPr>
      <xdr:spPr bwMode="auto">
        <a:xfrm flipV="1">
          <a:off x="12630150" y="161925"/>
          <a:ext cx="5408670" cy="4571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vert="horz" wrap="square" lIns="91440" tIns="45720" rIns="91440" bIns="45720"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133350</xdr:colOff>
      <xdr:row>0</xdr:row>
      <xdr:rowOff>161925</xdr:rowOff>
    </xdr:from>
    <xdr:to>
      <xdr:col>34</xdr:col>
      <xdr:colOff>179445</xdr:colOff>
      <xdr:row>0</xdr:row>
      <xdr:rowOff>207644</xdr:rowOff>
    </xdr:to>
    <xdr:sp macro="" textlink="">
      <xdr:nvSpPr>
        <xdr:cNvPr id="2" name="Rectangle 1">
          <a:extLst>
            <a:ext uri="{FF2B5EF4-FFF2-40B4-BE49-F238E27FC236}">
              <a16:creationId xmlns:a16="http://schemas.microsoft.com/office/drawing/2014/main" id="{CAD0F875-5222-48EE-9836-39EB3B931DD1}"/>
            </a:ext>
          </a:extLst>
        </xdr:cNvPr>
        <xdr:cNvSpPr>
          <a:spLocks noChangeArrowheads="1"/>
        </xdr:cNvSpPr>
      </xdr:nvSpPr>
      <xdr:spPr bwMode="auto">
        <a:xfrm flipV="1">
          <a:off x="12630150" y="161925"/>
          <a:ext cx="5408670" cy="4571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vert="horz" wrap="square" lIns="91440" tIns="45720" rIns="91440" bIns="45720"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133350</xdr:colOff>
      <xdr:row>0</xdr:row>
      <xdr:rowOff>161925</xdr:rowOff>
    </xdr:from>
    <xdr:to>
      <xdr:col>34</xdr:col>
      <xdr:colOff>179445</xdr:colOff>
      <xdr:row>0</xdr:row>
      <xdr:rowOff>207644</xdr:rowOff>
    </xdr:to>
    <xdr:sp macro="" textlink="">
      <xdr:nvSpPr>
        <xdr:cNvPr id="2" name="Rectangle 1">
          <a:extLst>
            <a:ext uri="{FF2B5EF4-FFF2-40B4-BE49-F238E27FC236}">
              <a16:creationId xmlns:a16="http://schemas.microsoft.com/office/drawing/2014/main" id="{9FF247D1-9C37-4EF2-A746-8187AC3FA8D7}"/>
            </a:ext>
          </a:extLst>
        </xdr:cNvPr>
        <xdr:cNvSpPr>
          <a:spLocks noChangeArrowheads="1"/>
        </xdr:cNvSpPr>
      </xdr:nvSpPr>
      <xdr:spPr bwMode="auto">
        <a:xfrm flipV="1">
          <a:off x="13382625" y="161925"/>
          <a:ext cx="5313420" cy="4571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vert="horz" wrap="square" lIns="91440" tIns="45720" rIns="91440" bIns="45720"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K57"/>
  <sheetViews>
    <sheetView showGridLines="0" showRuler="0" zoomScaleNormal="100" zoomScalePageLayoutView="70" workbookViewId="0">
      <pane ySplit="1" topLeftCell="A4" activePane="bottomLeft" state="frozen"/>
      <selection activeCell="B1" sqref="B1"/>
      <selection pane="bottomLeft" activeCell="B5" sqref="B5:B14"/>
    </sheetView>
  </sheetViews>
  <sheetFormatPr defaultColWidth="8.75" defaultRowHeight="30" customHeight="1" x14ac:dyDescent="0.2"/>
  <cols>
    <col min="1" max="1" width="2.75" style="6" customWidth="1"/>
    <col min="2" max="2" width="98.875" customWidth="1"/>
    <col min="3" max="3" width="10.75" customWidth="1"/>
    <col min="4" max="6" width="10.75" style="2" customWidth="1"/>
    <col min="7" max="7" width="11.125" customWidth="1"/>
    <col min="8" max="8" width="2.75" customWidth="1"/>
    <col min="9" max="9" width="6" hidden="1" customWidth="1"/>
    <col min="10" max="15" width="2.75" customWidth="1"/>
    <col min="16" max="16" width="4.375" customWidth="1"/>
    <col min="17" max="38" width="2.75" customWidth="1"/>
  </cols>
  <sheetData>
    <row r="1" spans="1:37" ht="95.25" customHeight="1" x14ac:dyDescent="0.5">
      <c r="A1" s="7"/>
      <c r="B1" s="75" t="s">
        <v>23</v>
      </c>
      <c r="C1" s="177" t="s">
        <v>28</v>
      </c>
      <c r="D1" s="177"/>
      <c r="E1" s="177"/>
      <c r="F1" s="177"/>
      <c r="G1" s="177"/>
      <c r="I1" s="1"/>
      <c r="J1" s="173"/>
      <c r="K1" s="174"/>
      <c r="L1" s="174"/>
      <c r="M1" s="174"/>
      <c r="N1" s="174"/>
      <c r="O1" s="174"/>
      <c r="P1" s="174"/>
      <c r="Q1" s="10"/>
      <c r="R1" s="171"/>
      <c r="S1" s="172"/>
      <c r="T1" s="172"/>
      <c r="U1" s="172"/>
      <c r="V1" s="172"/>
      <c r="W1" s="172"/>
      <c r="X1" s="172"/>
      <c r="Y1" s="172"/>
      <c r="Z1" s="172"/>
      <c r="AA1" s="172"/>
    </row>
    <row r="2" spans="1:37" ht="30" customHeight="1" x14ac:dyDescent="0.5">
      <c r="B2" s="32" t="s">
        <v>1</v>
      </c>
      <c r="C2" s="178"/>
      <c r="D2" s="178"/>
      <c r="E2" s="178"/>
      <c r="F2" s="178"/>
      <c r="G2" s="178"/>
      <c r="J2" s="175"/>
      <c r="K2" s="174"/>
      <c r="L2" s="174"/>
      <c r="M2" s="174"/>
      <c r="N2" s="174"/>
      <c r="O2" s="174"/>
      <c r="P2" s="174"/>
      <c r="Q2" s="10"/>
      <c r="R2" s="176"/>
      <c r="S2" s="172"/>
      <c r="T2" s="172"/>
      <c r="U2" s="172"/>
      <c r="V2" s="172"/>
      <c r="W2" s="172"/>
      <c r="X2" s="172"/>
      <c r="Y2" s="172"/>
      <c r="Z2" s="172"/>
      <c r="AA2" s="172"/>
    </row>
    <row r="3" spans="1:37" s="11" customFormat="1" ht="33" customHeight="1" thickBot="1" x14ac:dyDescent="0.25">
      <c r="A3" s="7"/>
      <c r="B3" s="76" t="s">
        <v>2</v>
      </c>
      <c r="C3" s="33" t="s">
        <v>7</v>
      </c>
      <c r="D3" s="34" t="s">
        <v>3</v>
      </c>
      <c r="E3" s="34" t="s">
        <v>4</v>
      </c>
      <c r="F3" s="34" t="s">
        <v>5</v>
      </c>
      <c r="G3" s="34" t="s">
        <v>6</v>
      </c>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row>
    <row r="4" spans="1:37" s="15" customFormat="1" ht="30" customHeight="1" thickBot="1" x14ac:dyDescent="0.25">
      <c r="A4" s="7"/>
      <c r="B4" s="72" t="s">
        <v>21</v>
      </c>
      <c r="C4" s="12"/>
      <c r="D4" s="13"/>
      <c r="E4" s="13"/>
      <c r="F4" s="13"/>
      <c r="G4" s="14"/>
      <c r="H4" s="9"/>
      <c r="I4" s="4" t="str">
        <f t="shared" ref="I4:I55" si="0">IF(OR(ISBLANK(task_start),ISBLANK(task_end)),"",task_end-task_start+1)</f>
        <v/>
      </c>
    </row>
    <row r="5" spans="1:37" s="15" customFormat="1" ht="30" customHeight="1" thickBot="1" x14ac:dyDescent="0.25">
      <c r="A5" s="7"/>
      <c r="B5" s="71" t="s">
        <v>8</v>
      </c>
      <c r="C5" s="36">
        <v>3.5</v>
      </c>
      <c r="D5" s="51">
        <v>4.5</v>
      </c>
      <c r="E5" s="52">
        <v>4.75</v>
      </c>
      <c r="F5" s="51">
        <v>5</v>
      </c>
      <c r="G5" s="53">
        <v>5</v>
      </c>
      <c r="H5" s="9"/>
      <c r="I5" s="4"/>
    </row>
    <row r="6" spans="1:37" s="15" customFormat="1" ht="30" customHeight="1" thickBot="1" x14ac:dyDescent="0.25">
      <c r="A6" s="7"/>
      <c r="B6" s="71" t="s">
        <v>9</v>
      </c>
      <c r="C6" s="36">
        <v>3.5</v>
      </c>
      <c r="D6" s="51">
        <v>4.5</v>
      </c>
      <c r="E6" s="52">
        <v>4.75</v>
      </c>
      <c r="F6" s="51">
        <v>5</v>
      </c>
      <c r="G6" s="53">
        <v>5</v>
      </c>
      <c r="H6" s="9"/>
      <c r="I6" s="4"/>
    </row>
    <row r="7" spans="1:37" s="15" customFormat="1" ht="30" customHeight="1" thickBot="1" x14ac:dyDescent="0.25">
      <c r="A7" s="7"/>
      <c r="B7" s="71" t="s">
        <v>10</v>
      </c>
      <c r="C7" s="36">
        <v>3.5</v>
      </c>
      <c r="D7" s="51">
        <v>4</v>
      </c>
      <c r="E7" s="52">
        <v>4.5</v>
      </c>
      <c r="F7" s="51">
        <v>4.5</v>
      </c>
      <c r="G7" s="53">
        <v>4.5</v>
      </c>
      <c r="H7" s="9"/>
      <c r="I7" s="4"/>
    </row>
    <row r="8" spans="1:37" s="15" customFormat="1" ht="30" customHeight="1" thickBot="1" x14ac:dyDescent="0.25">
      <c r="A8" s="7"/>
      <c r="B8" s="71" t="s">
        <v>11</v>
      </c>
      <c r="C8" s="36">
        <v>3.5</v>
      </c>
      <c r="D8" s="51">
        <v>4</v>
      </c>
      <c r="E8" s="52">
        <v>4.5</v>
      </c>
      <c r="F8" s="51">
        <v>5</v>
      </c>
      <c r="G8" s="53">
        <v>5</v>
      </c>
      <c r="H8" s="9"/>
      <c r="I8" s="4"/>
    </row>
    <row r="9" spans="1:37" s="15" customFormat="1" ht="30" customHeight="1" thickBot="1" x14ac:dyDescent="0.25">
      <c r="A9" s="7"/>
      <c r="B9" s="71" t="s">
        <v>12</v>
      </c>
      <c r="C9" s="36">
        <v>3.5</v>
      </c>
      <c r="D9" s="51">
        <v>4</v>
      </c>
      <c r="E9" s="52">
        <v>4.5</v>
      </c>
      <c r="F9" s="51">
        <v>4.5</v>
      </c>
      <c r="G9" s="53">
        <v>4.5</v>
      </c>
      <c r="H9" s="9"/>
      <c r="I9" s="4"/>
    </row>
    <row r="10" spans="1:37" s="15" customFormat="1" ht="30" customHeight="1" thickBot="1" x14ac:dyDescent="0.25">
      <c r="A10" s="7"/>
      <c r="B10" s="71" t="s">
        <v>13</v>
      </c>
      <c r="C10" s="36">
        <v>3.5</v>
      </c>
      <c r="D10" s="51">
        <v>4</v>
      </c>
      <c r="E10" s="52">
        <v>4.5</v>
      </c>
      <c r="F10" s="51">
        <v>4.5</v>
      </c>
      <c r="G10" s="53">
        <v>4.5</v>
      </c>
      <c r="H10" s="9"/>
      <c r="I10" s="4">
        <f t="shared" si="0"/>
        <v>1.5</v>
      </c>
    </row>
    <row r="11" spans="1:37" s="15" customFormat="1" ht="30" customHeight="1" thickBot="1" x14ac:dyDescent="0.25">
      <c r="A11" s="7"/>
      <c r="B11" s="71" t="s">
        <v>14</v>
      </c>
      <c r="C11" s="37">
        <v>3.5</v>
      </c>
      <c r="D11" s="53">
        <v>5</v>
      </c>
      <c r="E11" s="54">
        <v>4.5</v>
      </c>
      <c r="F11" s="55">
        <v>5</v>
      </c>
      <c r="G11" s="53">
        <v>5</v>
      </c>
      <c r="H11" s="9"/>
      <c r="I11" s="4">
        <f t="shared" si="0"/>
        <v>1</v>
      </c>
      <c r="V11" s="74"/>
      <c r="W11" s="74"/>
    </row>
    <row r="12" spans="1:37" s="15" customFormat="1" ht="30" customHeight="1" thickBot="1" x14ac:dyDescent="0.25">
      <c r="A12" s="6"/>
      <c r="B12" s="71" t="s">
        <v>15</v>
      </c>
      <c r="C12" s="38">
        <v>3.5</v>
      </c>
      <c r="D12" s="53">
        <v>4</v>
      </c>
      <c r="E12" s="55">
        <v>4.75</v>
      </c>
      <c r="F12" s="53">
        <v>5</v>
      </c>
      <c r="G12" s="54">
        <v>5</v>
      </c>
      <c r="H12" s="9"/>
      <c r="I12" s="4">
        <f t="shared" si="0"/>
        <v>2</v>
      </c>
    </row>
    <row r="13" spans="1:37" s="15" customFormat="1" ht="30" customHeight="1" thickBot="1" x14ac:dyDescent="0.25">
      <c r="A13" s="6"/>
      <c r="B13" s="71" t="s">
        <v>16</v>
      </c>
      <c r="C13" s="38">
        <v>3.5</v>
      </c>
      <c r="D13" s="53">
        <v>4</v>
      </c>
      <c r="E13" s="55">
        <v>4.5</v>
      </c>
      <c r="F13" s="53">
        <v>5</v>
      </c>
      <c r="G13" s="54">
        <v>5</v>
      </c>
      <c r="H13" s="9"/>
      <c r="I13" s="4">
        <f t="shared" si="0"/>
        <v>2</v>
      </c>
      <c r="Z13" s="74"/>
    </row>
    <row r="14" spans="1:37" s="15" customFormat="1" ht="30" customHeight="1" thickBot="1" x14ac:dyDescent="0.25">
      <c r="A14" s="6"/>
      <c r="B14" s="71" t="s">
        <v>17</v>
      </c>
      <c r="C14" s="35">
        <v>3.5</v>
      </c>
      <c r="D14" s="53">
        <v>4.5</v>
      </c>
      <c r="E14" s="55">
        <v>4.75</v>
      </c>
      <c r="F14" s="53">
        <v>5</v>
      </c>
      <c r="G14" s="54">
        <v>5</v>
      </c>
      <c r="H14" s="9"/>
      <c r="I14" s="4"/>
      <c r="Z14" s="74"/>
    </row>
    <row r="15" spans="1:37" s="15" customFormat="1" ht="30" customHeight="1" thickBot="1" x14ac:dyDescent="0.25">
      <c r="A15" s="6"/>
      <c r="B15" s="170" t="s">
        <v>26</v>
      </c>
      <c r="C15" s="170"/>
      <c r="D15" s="170"/>
      <c r="E15" s="170"/>
      <c r="F15" s="170"/>
      <c r="G15" s="170"/>
      <c r="H15" s="9"/>
      <c r="I15" s="4" t="str">
        <f t="shared" si="0"/>
        <v/>
      </c>
    </row>
    <row r="16" spans="1:37" s="15" customFormat="1" ht="30" customHeight="1" thickBot="1" x14ac:dyDescent="0.25">
      <c r="A16" s="6"/>
      <c r="B16" s="76" t="s">
        <v>2</v>
      </c>
      <c r="C16" s="33" t="s">
        <v>7</v>
      </c>
      <c r="D16" s="34" t="s">
        <v>3</v>
      </c>
      <c r="E16" s="34" t="s">
        <v>4</v>
      </c>
      <c r="F16" s="34" t="s">
        <v>5</v>
      </c>
      <c r="G16" s="34" t="s">
        <v>6</v>
      </c>
      <c r="H16" s="9"/>
      <c r="I16" s="4"/>
    </row>
    <row r="17" spans="1:26" s="15" customFormat="1" ht="30" customHeight="1" thickBot="1" x14ac:dyDescent="0.25">
      <c r="A17" s="7"/>
      <c r="B17" s="16" t="s">
        <v>20</v>
      </c>
      <c r="C17" s="17"/>
      <c r="D17" s="18" t="s">
        <v>30</v>
      </c>
      <c r="E17" s="18" t="s">
        <v>30</v>
      </c>
      <c r="F17" s="18" t="s">
        <v>31</v>
      </c>
      <c r="G17" s="19" t="s">
        <v>29</v>
      </c>
      <c r="H17" s="9"/>
      <c r="I17" s="4" t="e">
        <f t="shared" si="0"/>
        <v>#VALUE!</v>
      </c>
    </row>
    <row r="18" spans="1:26" s="15" customFormat="1" ht="30" customHeight="1" thickBot="1" x14ac:dyDescent="0.25">
      <c r="A18" s="7"/>
      <c r="B18" s="70" t="s">
        <v>8</v>
      </c>
      <c r="C18" s="39">
        <v>3.5</v>
      </c>
      <c r="D18" s="56">
        <v>4.25</v>
      </c>
      <c r="E18" s="56">
        <v>4.125</v>
      </c>
      <c r="F18" s="56">
        <v>4</v>
      </c>
      <c r="G18" s="57">
        <v>4.5999999999999996</v>
      </c>
      <c r="H18" s="9"/>
      <c r="I18" s="4"/>
    </row>
    <row r="19" spans="1:26" s="15" customFormat="1" ht="30" customHeight="1" thickBot="1" x14ac:dyDescent="0.25">
      <c r="A19" s="7"/>
      <c r="B19" s="70" t="s">
        <v>9</v>
      </c>
      <c r="C19" s="41">
        <v>3.5</v>
      </c>
      <c r="D19" s="56">
        <v>4.375</v>
      </c>
      <c r="E19" s="58">
        <v>4.375</v>
      </c>
      <c r="F19" s="59">
        <v>4.22</v>
      </c>
      <c r="G19" s="57">
        <v>4.8</v>
      </c>
      <c r="H19" s="9"/>
      <c r="I19" s="4"/>
    </row>
    <row r="20" spans="1:26" s="15" customFormat="1" ht="30" customHeight="1" thickBot="1" x14ac:dyDescent="0.25">
      <c r="A20" s="7"/>
      <c r="B20" s="70" t="s">
        <v>10</v>
      </c>
      <c r="C20" s="42">
        <v>3.5</v>
      </c>
      <c r="D20" s="60">
        <v>4.375</v>
      </c>
      <c r="E20" s="59">
        <v>4</v>
      </c>
      <c r="F20" s="56">
        <v>3.88</v>
      </c>
      <c r="G20" s="59">
        <v>3.4</v>
      </c>
      <c r="H20" s="9"/>
      <c r="I20" s="4"/>
    </row>
    <row r="21" spans="1:26" s="15" customFormat="1" ht="30" customHeight="1" thickBot="1" x14ac:dyDescent="0.25">
      <c r="A21" s="7"/>
      <c r="B21" s="70" t="s">
        <v>11</v>
      </c>
      <c r="C21" s="42">
        <v>3.5</v>
      </c>
      <c r="D21" s="60">
        <v>4.125</v>
      </c>
      <c r="E21" s="56">
        <v>4.25</v>
      </c>
      <c r="F21" s="56">
        <v>4</v>
      </c>
      <c r="G21" s="57">
        <v>4</v>
      </c>
      <c r="H21" s="9"/>
      <c r="I21" s="4"/>
    </row>
    <row r="22" spans="1:26" s="15" customFormat="1" ht="30" customHeight="1" thickBot="1" x14ac:dyDescent="0.25">
      <c r="A22" s="7"/>
      <c r="B22" s="70" t="s">
        <v>12</v>
      </c>
      <c r="C22" s="40">
        <v>3.5</v>
      </c>
      <c r="D22" s="56">
        <v>4.5</v>
      </c>
      <c r="E22" s="56">
        <v>4</v>
      </c>
      <c r="F22" s="56">
        <v>3.66</v>
      </c>
      <c r="G22" s="57">
        <v>4.4000000000000004</v>
      </c>
      <c r="H22" s="9"/>
      <c r="I22" s="4"/>
    </row>
    <row r="23" spans="1:26" s="15" customFormat="1" ht="30" customHeight="1" thickBot="1" x14ac:dyDescent="0.25">
      <c r="A23" s="7"/>
      <c r="B23" s="70" t="s">
        <v>13</v>
      </c>
      <c r="C23" s="39">
        <v>3.5</v>
      </c>
      <c r="D23" s="56">
        <v>4.25</v>
      </c>
      <c r="E23" s="56">
        <v>4.375</v>
      </c>
      <c r="F23" s="56">
        <v>4.22</v>
      </c>
      <c r="G23" s="57">
        <v>4.8</v>
      </c>
      <c r="H23" s="9"/>
      <c r="I23" s="4">
        <f t="shared" si="0"/>
        <v>1.5499999999999998</v>
      </c>
    </row>
    <row r="24" spans="1:26" s="15" customFormat="1" ht="30" customHeight="1" thickBot="1" x14ac:dyDescent="0.25">
      <c r="A24" s="6"/>
      <c r="B24" s="70" t="s">
        <v>14</v>
      </c>
      <c r="C24" s="41">
        <v>3.5</v>
      </c>
      <c r="D24" s="56">
        <v>4.25</v>
      </c>
      <c r="E24" s="58">
        <v>4.25</v>
      </c>
      <c r="F24" s="59">
        <v>4.22</v>
      </c>
      <c r="G24" s="57">
        <v>4.4000000000000004</v>
      </c>
      <c r="H24" s="9"/>
      <c r="I24" s="4">
        <f t="shared" si="0"/>
        <v>1.1500000000000004</v>
      </c>
      <c r="V24" s="74"/>
      <c r="W24" s="74"/>
    </row>
    <row r="25" spans="1:26" s="15" customFormat="1" ht="30" customHeight="1" thickBot="1" x14ac:dyDescent="0.25">
      <c r="A25" s="6"/>
      <c r="B25" s="70" t="s">
        <v>15</v>
      </c>
      <c r="C25" s="42">
        <v>3.5</v>
      </c>
      <c r="D25" s="60">
        <v>4.5</v>
      </c>
      <c r="E25" s="59">
        <v>4.375</v>
      </c>
      <c r="F25" s="56">
        <v>4.22</v>
      </c>
      <c r="G25" s="59">
        <v>4.5999999999999996</v>
      </c>
      <c r="H25" s="9"/>
      <c r="I25" s="4">
        <f t="shared" si="0"/>
        <v>1.0999999999999996</v>
      </c>
    </row>
    <row r="26" spans="1:26" s="15" customFormat="1" ht="30" customHeight="1" thickBot="1" x14ac:dyDescent="0.25">
      <c r="A26" s="6"/>
      <c r="B26" s="70" t="s">
        <v>16</v>
      </c>
      <c r="C26" s="42">
        <v>3.5</v>
      </c>
      <c r="D26" s="60">
        <v>4.2850000000000001</v>
      </c>
      <c r="E26" s="56">
        <v>3.875</v>
      </c>
      <c r="F26" s="56">
        <v>3.88</v>
      </c>
      <c r="G26" s="57">
        <v>4</v>
      </c>
      <c r="H26" s="9"/>
      <c r="I26" s="4">
        <f t="shared" si="0"/>
        <v>0.71499999999999986</v>
      </c>
      <c r="Z26" s="74"/>
    </row>
    <row r="27" spans="1:26" s="15" customFormat="1" ht="30" customHeight="1" thickBot="1" x14ac:dyDescent="0.25">
      <c r="A27" s="6"/>
      <c r="B27" s="70" t="s">
        <v>17</v>
      </c>
      <c r="C27" s="40">
        <v>3.5</v>
      </c>
      <c r="D27" s="56">
        <v>3.875</v>
      </c>
      <c r="E27" s="56">
        <v>4.25</v>
      </c>
      <c r="F27" s="56">
        <v>4</v>
      </c>
      <c r="G27" s="57">
        <v>4.5999999999999996</v>
      </c>
      <c r="H27" s="9"/>
      <c r="I27" s="4">
        <f t="shared" si="0"/>
        <v>1.7249999999999996</v>
      </c>
    </row>
    <row r="28" spans="1:26" s="15" customFormat="1" ht="30" customHeight="1" thickBot="1" x14ac:dyDescent="0.25">
      <c r="A28" s="6"/>
      <c r="B28" s="170" t="s">
        <v>22</v>
      </c>
      <c r="C28" s="170"/>
      <c r="D28" s="170"/>
      <c r="E28" s="170"/>
      <c r="F28" s="170"/>
      <c r="G28" s="170"/>
      <c r="H28" s="9"/>
      <c r="I28" s="4"/>
    </row>
    <row r="29" spans="1:26" s="15" customFormat="1" ht="30" customHeight="1" thickBot="1" x14ac:dyDescent="0.25">
      <c r="A29" s="6"/>
      <c r="B29" s="76" t="s">
        <v>2</v>
      </c>
      <c r="C29" s="33" t="s">
        <v>7</v>
      </c>
      <c r="D29" s="34" t="s">
        <v>3</v>
      </c>
      <c r="E29" s="34" t="s">
        <v>4</v>
      </c>
      <c r="F29" s="34" t="s">
        <v>5</v>
      </c>
      <c r="G29" s="34" t="s">
        <v>6</v>
      </c>
      <c r="H29" s="9"/>
      <c r="I29" s="4"/>
    </row>
    <row r="30" spans="1:26" s="15" customFormat="1" ht="30" customHeight="1" thickBot="1" x14ac:dyDescent="0.25">
      <c r="A30" s="6"/>
      <c r="B30" s="20" t="s">
        <v>18</v>
      </c>
      <c r="C30" s="21"/>
      <c r="D30" s="22" t="s">
        <v>25</v>
      </c>
      <c r="E30" s="22" t="s">
        <v>24</v>
      </c>
      <c r="F30" s="22" t="s">
        <v>27</v>
      </c>
      <c r="G30" s="23"/>
      <c r="H30" s="9"/>
      <c r="I30" s="4" t="str">
        <f t="shared" si="0"/>
        <v/>
      </c>
    </row>
    <row r="31" spans="1:26" s="15" customFormat="1" ht="30" customHeight="1" thickBot="1" x14ac:dyDescent="0.25">
      <c r="A31" s="6"/>
      <c r="B31" s="69" t="s">
        <v>8</v>
      </c>
      <c r="C31" s="48">
        <v>3.5</v>
      </c>
      <c r="D31" s="61">
        <v>4.75</v>
      </c>
      <c r="E31" s="62">
        <v>4.7</v>
      </c>
      <c r="F31" s="62">
        <v>4.17</v>
      </c>
      <c r="G31" s="62"/>
      <c r="H31" s="9"/>
      <c r="I31" s="4"/>
    </row>
    <row r="32" spans="1:26" s="15" customFormat="1" ht="30" customHeight="1" thickBot="1" x14ac:dyDescent="0.25">
      <c r="A32" s="6"/>
      <c r="B32" s="69" t="s">
        <v>9</v>
      </c>
      <c r="C32" s="50">
        <v>3.5</v>
      </c>
      <c r="D32" s="61">
        <v>4.75</v>
      </c>
      <c r="E32" s="63">
        <v>4.7</v>
      </c>
      <c r="F32" s="61">
        <v>4.5</v>
      </c>
      <c r="G32" s="62"/>
      <c r="H32" s="9"/>
      <c r="I32" s="4"/>
    </row>
    <row r="33" spans="1:9" s="15" customFormat="1" ht="30" customHeight="1" thickBot="1" x14ac:dyDescent="0.25">
      <c r="A33" s="6"/>
      <c r="B33" s="69" t="s">
        <v>10</v>
      </c>
      <c r="C33" s="50">
        <v>3.5</v>
      </c>
      <c r="D33" s="61">
        <v>4.25</v>
      </c>
      <c r="E33" s="62">
        <v>4</v>
      </c>
      <c r="F33" s="63">
        <v>3.7</v>
      </c>
      <c r="G33" s="61"/>
      <c r="H33" s="9"/>
      <c r="I33" s="4"/>
    </row>
    <row r="34" spans="1:9" s="15" customFormat="1" ht="30" customHeight="1" thickBot="1" x14ac:dyDescent="0.25">
      <c r="A34" s="6"/>
      <c r="B34" s="69" t="s">
        <v>11</v>
      </c>
      <c r="C34" s="50">
        <v>3.5</v>
      </c>
      <c r="D34" s="61">
        <v>4.25</v>
      </c>
      <c r="E34" s="62">
        <v>4.7</v>
      </c>
      <c r="F34" s="62">
        <v>4.17</v>
      </c>
      <c r="G34" s="62"/>
      <c r="H34" s="9"/>
      <c r="I34" s="4"/>
    </row>
    <row r="35" spans="1:9" s="15" customFormat="1" ht="30" customHeight="1" thickBot="1" x14ac:dyDescent="0.25">
      <c r="A35" s="6"/>
      <c r="B35" s="69" t="s">
        <v>12</v>
      </c>
      <c r="C35" s="49">
        <v>3.5</v>
      </c>
      <c r="D35" s="61">
        <v>4.75</v>
      </c>
      <c r="E35" s="62">
        <v>4.7</v>
      </c>
      <c r="F35" s="62">
        <v>4.17</v>
      </c>
      <c r="G35" s="62"/>
      <c r="H35" s="9"/>
      <c r="I35" s="4"/>
    </row>
    <row r="36" spans="1:9" s="15" customFormat="1" ht="30" customHeight="1" thickBot="1" x14ac:dyDescent="0.25">
      <c r="A36" s="6"/>
      <c r="B36" s="69" t="s">
        <v>13</v>
      </c>
      <c r="C36" s="48">
        <v>3.5</v>
      </c>
      <c r="D36" s="61">
        <v>5</v>
      </c>
      <c r="E36" s="62">
        <v>4.3</v>
      </c>
      <c r="F36" s="62">
        <v>4.83</v>
      </c>
      <c r="G36" s="62"/>
      <c r="H36" s="9"/>
      <c r="I36" s="4" t="str">
        <f t="shared" si="0"/>
        <v/>
      </c>
    </row>
    <row r="37" spans="1:9" s="15" customFormat="1" ht="30" customHeight="1" thickBot="1" x14ac:dyDescent="0.25">
      <c r="A37" s="6"/>
      <c r="B37" s="69" t="s">
        <v>14</v>
      </c>
      <c r="C37" s="50">
        <v>3.5</v>
      </c>
      <c r="D37" s="61">
        <v>4.75</v>
      </c>
      <c r="E37" s="63">
        <v>5</v>
      </c>
      <c r="F37" s="61">
        <v>4.3</v>
      </c>
      <c r="G37" s="62"/>
      <c r="H37" s="9"/>
      <c r="I37" s="4" t="str">
        <f t="shared" si="0"/>
        <v/>
      </c>
    </row>
    <row r="38" spans="1:9" s="15" customFormat="1" ht="30" customHeight="1" thickBot="1" x14ac:dyDescent="0.25">
      <c r="A38" s="6"/>
      <c r="B38" s="69" t="s">
        <v>15</v>
      </c>
      <c r="C38" s="50">
        <v>3.5</v>
      </c>
      <c r="D38" s="61">
        <v>4.75</v>
      </c>
      <c r="E38" s="62">
        <v>4.7</v>
      </c>
      <c r="F38" s="63">
        <v>4.83</v>
      </c>
      <c r="G38" s="61"/>
      <c r="H38" s="9"/>
      <c r="I38" s="4" t="str">
        <f t="shared" si="0"/>
        <v/>
      </c>
    </row>
    <row r="39" spans="1:9" s="15" customFormat="1" ht="30" customHeight="1" thickBot="1" x14ac:dyDescent="0.25">
      <c r="A39" s="6"/>
      <c r="B39" s="69" t="s">
        <v>16</v>
      </c>
      <c r="C39" s="50">
        <v>3.5</v>
      </c>
      <c r="D39" s="61">
        <v>4.75</v>
      </c>
      <c r="E39" s="62">
        <v>4.7</v>
      </c>
      <c r="F39" s="62">
        <v>4.5</v>
      </c>
      <c r="G39" s="62"/>
      <c r="H39" s="9"/>
      <c r="I39" s="4" t="str">
        <f t="shared" si="0"/>
        <v/>
      </c>
    </row>
    <row r="40" spans="1:9" s="15" customFormat="1" ht="30" customHeight="1" thickBot="1" x14ac:dyDescent="0.25">
      <c r="A40" s="6"/>
      <c r="B40" s="69" t="s">
        <v>17</v>
      </c>
      <c r="C40" s="49">
        <v>3.5</v>
      </c>
      <c r="D40" s="61">
        <v>4.25</v>
      </c>
      <c r="E40" s="62">
        <v>4</v>
      </c>
      <c r="F40" s="62">
        <v>4</v>
      </c>
      <c r="G40" s="62"/>
      <c r="H40" s="9"/>
      <c r="I40" s="4" t="str">
        <f t="shared" si="0"/>
        <v/>
      </c>
    </row>
    <row r="41" spans="1:9" s="15" customFormat="1" ht="30" customHeight="1" thickBot="1" x14ac:dyDescent="0.25">
      <c r="A41" s="6"/>
      <c r="B41" s="170" t="s">
        <v>22</v>
      </c>
      <c r="C41" s="170"/>
      <c r="D41" s="170"/>
      <c r="E41" s="170"/>
      <c r="F41" s="170"/>
      <c r="G41" s="170"/>
      <c r="H41" s="9"/>
      <c r="I41" s="4"/>
    </row>
    <row r="42" spans="1:9" s="15" customFormat="1" ht="30" customHeight="1" thickBot="1" x14ac:dyDescent="0.25">
      <c r="A42" s="6"/>
      <c r="B42" s="77" t="s">
        <v>2</v>
      </c>
      <c r="C42" s="33" t="s">
        <v>7</v>
      </c>
      <c r="D42" s="34" t="s">
        <v>3</v>
      </c>
      <c r="E42" s="34" t="s">
        <v>4</v>
      </c>
      <c r="F42" s="34" t="s">
        <v>5</v>
      </c>
      <c r="G42" s="34" t="s">
        <v>6</v>
      </c>
      <c r="H42" s="9"/>
      <c r="I42" s="4"/>
    </row>
    <row r="43" spans="1:9" s="15" customFormat="1" ht="30" customHeight="1" thickBot="1" x14ac:dyDescent="0.25">
      <c r="A43" s="6"/>
      <c r="B43" s="24" t="s">
        <v>19</v>
      </c>
      <c r="C43" s="25"/>
      <c r="D43" s="26"/>
      <c r="E43" s="26"/>
      <c r="F43" s="26"/>
      <c r="G43" s="27"/>
      <c r="H43" s="9"/>
      <c r="I43" s="4" t="str">
        <f t="shared" si="0"/>
        <v/>
      </c>
    </row>
    <row r="44" spans="1:9" s="15" customFormat="1" ht="30" customHeight="1" thickBot="1" x14ac:dyDescent="0.25">
      <c r="A44" s="6"/>
      <c r="B44" s="68" t="s">
        <v>8</v>
      </c>
      <c r="C44" s="43">
        <v>3.5</v>
      </c>
      <c r="D44" s="64">
        <v>3.5</v>
      </c>
      <c r="E44" s="65">
        <v>4</v>
      </c>
      <c r="F44" s="66">
        <v>4</v>
      </c>
      <c r="G44" s="67"/>
      <c r="H44" s="9"/>
      <c r="I44" s="4"/>
    </row>
    <row r="45" spans="1:9" s="15" customFormat="1" ht="30" customHeight="1" thickBot="1" x14ac:dyDescent="0.25">
      <c r="A45" s="6"/>
      <c r="B45" s="68" t="s">
        <v>9</v>
      </c>
      <c r="C45" s="44">
        <v>3.5</v>
      </c>
      <c r="D45" s="64">
        <v>4.5</v>
      </c>
      <c r="E45" s="65">
        <v>5</v>
      </c>
      <c r="F45" s="66">
        <v>4.5</v>
      </c>
      <c r="G45" s="67"/>
      <c r="H45" s="9"/>
      <c r="I45" s="4"/>
    </row>
    <row r="46" spans="1:9" s="15" customFormat="1" ht="30" customHeight="1" thickBot="1" x14ac:dyDescent="0.25">
      <c r="A46" s="6"/>
      <c r="B46" s="68" t="s">
        <v>10</v>
      </c>
      <c r="C46" s="45">
        <v>3.5</v>
      </c>
      <c r="D46" s="64">
        <v>4</v>
      </c>
      <c r="E46" s="65">
        <v>4</v>
      </c>
      <c r="F46" s="66">
        <v>4</v>
      </c>
      <c r="G46" s="67"/>
      <c r="H46" s="9"/>
      <c r="I46" s="4"/>
    </row>
    <row r="47" spans="1:9" s="15" customFormat="1" ht="30" customHeight="1" thickBot="1" x14ac:dyDescent="0.25">
      <c r="A47" s="6"/>
      <c r="B47" s="68" t="s">
        <v>11</v>
      </c>
      <c r="C47" s="47">
        <v>3.5</v>
      </c>
      <c r="D47" s="65">
        <v>4</v>
      </c>
      <c r="E47" s="66">
        <v>4</v>
      </c>
      <c r="F47" s="66">
        <v>4</v>
      </c>
      <c r="G47" s="67"/>
      <c r="H47" s="9"/>
      <c r="I47" s="4"/>
    </row>
    <row r="48" spans="1:9" s="15" customFormat="1" ht="30" customHeight="1" thickBot="1" x14ac:dyDescent="0.25">
      <c r="A48" s="6"/>
      <c r="B48" s="68" t="s">
        <v>12</v>
      </c>
      <c r="C48" s="46">
        <v>3.5</v>
      </c>
      <c r="D48" s="65">
        <v>3.5</v>
      </c>
      <c r="E48" s="66">
        <v>4</v>
      </c>
      <c r="F48" s="66">
        <v>3.5</v>
      </c>
      <c r="G48" s="65"/>
      <c r="H48" s="9"/>
      <c r="I48" s="4"/>
    </row>
    <row r="49" spans="1:9" s="15" customFormat="1" ht="30" customHeight="1" thickBot="1" x14ac:dyDescent="0.25">
      <c r="A49" s="6"/>
      <c r="B49" s="68" t="s">
        <v>13</v>
      </c>
      <c r="C49" s="43">
        <v>3.5</v>
      </c>
      <c r="D49" s="64">
        <v>3</v>
      </c>
      <c r="E49" s="65">
        <v>3</v>
      </c>
      <c r="F49" s="66">
        <v>3</v>
      </c>
      <c r="G49" s="67"/>
      <c r="H49" s="9"/>
      <c r="I49" s="4" t="str">
        <f t="shared" si="0"/>
        <v/>
      </c>
    </row>
    <row r="50" spans="1:9" s="15" customFormat="1" ht="30" customHeight="1" thickBot="1" x14ac:dyDescent="0.25">
      <c r="A50" s="6"/>
      <c r="B50" s="68" t="s">
        <v>14</v>
      </c>
      <c r="C50" s="44">
        <v>3.5</v>
      </c>
      <c r="D50" s="64">
        <v>3.5</v>
      </c>
      <c r="E50" s="65">
        <v>4</v>
      </c>
      <c r="F50" s="66">
        <v>3.5</v>
      </c>
      <c r="G50" s="67"/>
      <c r="H50" s="9"/>
      <c r="I50" s="4" t="str">
        <f t="shared" si="0"/>
        <v/>
      </c>
    </row>
    <row r="51" spans="1:9" s="15" customFormat="1" ht="30" customHeight="1" thickBot="1" x14ac:dyDescent="0.25">
      <c r="A51" s="6"/>
      <c r="B51" s="68" t="s">
        <v>15</v>
      </c>
      <c r="C51" s="45">
        <v>3.5</v>
      </c>
      <c r="D51" s="64">
        <v>4.5</v>
      </c>
      <c r="E51" s="65">
        <v>4</v>
      </c>
      <c r="F51" s="66">
        <v>4.5</v>
      </c>
      <c r="G51" s="67"/>
      <c r="H51" s="9"/>
      <c r="I51" s="4" t="str">
        <f t="shared" si="0"/>
        <v/>
      </c>
    </row>
    <row r="52" spans="1:9" s="15" customFormat="1" ht="30" customHeight="1" thickBot="1" x14ac:dyDescent="0.25">
      <c r="A52" s="6"/>
      <c r="B52" s="68" t="s">
        <v>16</v>
      </c>
      <c r="C52" s="47">
        <v>3.5</v>
      </c>
      <c r="D52" s="65">
        <v>3.5</v>
      </c>
      <c r="E52" s="66">
        <v>4</v>
      </c>
      <c r="F52" s="66">
        <v>3.5</v>
      </c>
      <c r="G52" s="67"/>
      <c r="H52" s="9"/>
      <c r="I52" s="4" t="str">
        <f t="shared" si="0"/>
        <v/>
      </c>
    </row>
    <row r="53" spans="1:9" s="15" customFormat="1" ht="30" customHeight="1" thickBot="1" x14ac:dyDescent="0.25">
      <c r="A53" s="6"/>
      <c r="B53" s="68" t="s">
        <v>17</v>
      </c>
      <c r="C53" s="46">
        <v>3.5</v>
      </c>
      <c r="D53" s="65">
        <v>2.5</v>
      </c>
      <c r="E53" s="66">
        <v>3</v>
      </c>
      <c r="F53" s="66">
        <v>2.5</v>
      </c>
      <c r="G53" s="65"/>
      <c r="H53" s="9"/>
      <c r="I53" s="4" t="str">
        <f t="shared" si="0"/>
        <v/>
      </c>
    </row>
    <row r="54" spans="1:9" s="15" customFormat="1" ht="30" customHeight="1" thickBot="1" x14ac:dyDescent="0.25">
      <c r="A54" s="6"/>
      <c r="B54" s="170" t="s">
        <v>22</v>
      </c>
      <c r="C54" s="170"/>
      <c r="D54" s="170"/>
      <c r="E54" s="170"/>
      <c r="F54" s="170"/>
      <c r="G54" s="170"/>
      <c r="H54" s="9"/>
      <c r="I54" s="4" t="str">
        <f t="shared" si="0"/>
        <v/>
      </c>
    </row>
    <row r="55" spans="1:9" s="15" customFormat="1" ht="30" customHeight="1" thickBot="1" x14ac:dyDescent="0.25">
      <c r="A55" s="7"/>
      <c r="B55" s="28" t="s">
        <v>0</v>
      </c>
      <c r="C55" s="29"/>
      <c r="D55" s="30"/>
      <c r="E55" s="30"/>
      <c r="F55" s="30"/>
      <c r="G55" s="31"/>
      <c r="H55" s="9"/>
      <c r="I55" s="5" t="str">
        <f t="shared" si="0"/>
        <v/>
      </c>
    </row>
    <row r="56" spans="1:9" ht="30" customHeight="1" x14ac:dyDescent="0.2">
      <c r="H56" s="3"/>
    </row>
    <row r="57" spans="1:9" ht="30" customHeight="1" x14ac:dyDescent="0.2">
      <c r="G57" s="8"/>
    </row>
  </sheetData>
  <mergeCells count="9">
    <mergeCell ref="B41:G41"/>
    <mergeCell ref="B54:G54"/>
    <mergeCell ref="R1:AA1"/>
    <mergeCell ref="J1:P1"/>
    <mergeCell ref="J2:P2"/>
    <mergeCell ref="R2:AA2"/>
    <mergeCell ref="B28:G28"/>
    <mergeCell ref="B15:G15"/>
    <mergeCell ref="C1:G2"/>
  </mergeCells>
  <conditionalFormatting sqref="B4">
    <cfRule type="dataBar" priority="1">
      <dataBar>
        <cfvo type="num" val="0"/>
        <cfvo type="num" val="1"/>
        <color theme="0"/>
      </dataBar>
      <extLst>
        <ext xmlns:x14="http://schemas.microsoft.com/office/spreadsheetml/2009/9/main" uri="{B025F937-C7B1-47D3-B67F-A62EFF666E3E}">
          <x14:id>{EA045617-5A57-4D60-95AB-9E44F9D214F8}</x14:id>
        </ext>
      </extLst>
    </cfRule>
  </conditionalFormatting>
  <conditionalFormatting sqref="C17 C30 C43 C55 C4">
    <cfRule type="dataBar" priority="24">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J3:AJ53">
    <cfRule type="expression" dxfId="31" priority="66">
      <formula>AND(TODAY()&gt;=J$3, TODAY()&lt;K$3)</formula>
    </cfRule>
  </conditionalFormatting>
  <conditionalFormatting sqref="J10:AJ16">
    <cfRule type="expression" dxfId="30" priority="8" stopIfTrue="1">
      <formula>AND(task_end&gt;=J$3,task_start&lt;K$3)</formula>
    </cfRule>
  </conditionalFormatting>
  <conditionalFormatting sqref="J23:AJ29">
    <cfRule type="expression" dxfId="29" priority="6" stopIfTrue="1">
      <formula>AND(task_end&gt;=J$3,task_start&lt;K$3)</formula>
    </cfRule>
  </conditionalFormatting>
  <conditionalFormatting sqref="J36:AJ42">
    <cfRule type="expression" dxfId="28" priority="4" stopIfTrue="1">
      <formula>AND(task_end&gt;=J$3,task_start&lt;K$3)</formula>
    </cfRule>
  </conditionalFormatting>
  <conditionalFormatting sqref="J49:AJ53">
    <cfRule type="expression" dxfId="27" priority="38" stopIfTrue="1">
      <formula>AND(task_end&gt;=J$3,task_start&lt;K$3)</formula>
    </cfRule>
  </conditionalFormatting>
  <conditionalFormatting sqref="J10:AK16">
    <cfRule type="expression" dxfId="26" priority="7">
      <formula>AND(task_start&lt;=J$3,ROUNDDOWN((task_end-task_start+1)*task_progress,0)+task_start-1&gt;=J$3)</formula>
    </cfRule>
  </conditionalFormatting>
  <conditionalFormatting sqref="J23:AK29">
    <cfRule type="expression" dxfId="25" priority="5">
      <formula>AND(task_start&lt;=J$3,ROUNDDOWN((task_end-task_start+1)*task_progress,0)+task_start-1&gt;=J$3)</formula>
    </cfRule>
  </conditionalFormatting>
  <conditionalFormatting sqref="J36:AK42">
    <cfRule type="expression" dxfId="24" priority="3">
      <formula>AND(task_start&lt;=J$3,ROUNDDOWN((task_end-task_start+1)*task_progress,0)+task_start-1&gt;=J$3)</formula>
    </cfRule>
  </conditionalFormatting>
  <conditionalFormatting sqref="J49:AK53">
    <cfRule type="expression" dxfId="23" priority="37">
      <formula>AND(task_start&lt;=J$3,ROUNDDOWN((task_end-task_start+1)*task_progress,0)+task_start-1&gt;=J$3)</formula>
    </cfRule>
  </conditionalFormatting>
  <conditionalFormatting sqref="AK3:AK53">
    <cfRule type="expression" dxfId="22" priority="67">
      <formula>AND(TODAY()&gt;=AK$3, TODAY()&lt;#REF!)</formula>
    </cfRule>
  </conditionalFormatting>
  <conditionalFormatting sqref="AK10:AK16">
    <cfRule type="expression" dxfId="21" priority="44" stopIfTrue="1">
      <formula>AND(task_end&gt;=AK$3,task_start&lt;#REF!)</formula>
    </cfRule>
  </conditionalFormatting>
  <conditionalFormatting sqref="AK23:AK29">
    <cfRule type="expression" dxfId="20" priority="50" stopIfTrue="1">
      <formula>AND(task_end&gt;=AK$3,task_start&lt;#REF!)</formula>
    </cfRule>
  </conditionalFormatting>
  <conditionalFormatting sqref="AK36:AK42">
    <cfRule type="expression" dxfId="19" priority="56" stopIfTrue="1">
      <formula>AND(task_end&gt;=AK$3,task_start&lt;#REF!)</formula>
    </cfRule>
  </conditionalFormatting>
  <conditionalFormatting sqref="AK49:AK53">
    <cfRule type="expression" dxfId="18" priority="62" stopIfTrue="1">
      <formula>AND(task_end&gt;=AK$3,task_start&lt;#REF!)</formula>
    </cfRule>
  </conditionalFormatting>
  <dataValidations count="11">
    <dataValidation type="whole" operator="greaterThanOrEqual" allowBlank="1" showInputMessage="1" promptTitle="Display Week" prompt="Changing this number will scroll the Gantt Chart view." sqref="R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3" xr:uid="{7A3789A6-A3FB-43B6-A4F7-8C0AC564F67E}"/>
    <dataValidation allowBlank="1" showInputMessage="1" showErrorMessage="1" prompt="Cell B8 contains the Phase 1 sample title. Enter a new title in cell B8._x000a_To delete the phase and work only from tasks, simply delete this row." sqref="A4:A9"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7:A22" xr:uid="{4F48FC41-E335-47F1-87AA-3333A52AD81C}"/>
    <dataValidation allowBlank="1" showInputMessage="1" showErrorMessage="1" prompt="Phase 3's sample block starts in cell B20." sqref="A30:A35" xr:uid="{956902D1-D3B5-416D-BB69-9362D193BC0A}"/>
    <dataValidation allowBlank="1" showInputMessage="1" showErrorMessage="1" prompt="Phase 4's sample block starts in cell B26." sqref="A43:A48"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55"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EA045617-5A57-4D60-95AB-9E44F9D214F8}">
            <x14:dataBar minLength="0" maxLength="100" gradient="0">
              <x14:cfvo type="num">
                <xm:f>0</xm:f>
              </x14:cfvo>
              <x14:cfvo type="num">
                <xm:f>1</xm:f>
              </x14:cfvo>
              <x14:negativeFillColor rgb="FFFF0000"/>
              <x14:axisColor rgb="FF000000"/>
            </x14:dataBar>
          </x14:cfRule>
          <xm:sqref>B4</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C17 C30 C43 C55 C4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79E2-7974-428D-A16B-8558D11CF01E}">
  <dimension ref="A1:AB57"/>
  <sheetViews>
    <sheetView topLeftCell="A49" workbookViewId="0">
      <selection activeCell="I44" sqref="I44"/>
    </sheetView>
  </sheetViews>
  <sheetFormatPr defaultColWidth="8.75" defaultRowHeight="30" customHeight="1" x14ac:dyDescent="0.2"/>
  <cols>
    <col min="1" max="1" width="18.625" style="6" customWidth="1"/>
    <col min="2" max="2" width="98.875" customWidth="1"/>
    <col min="3" max="3" width="10.75" customWidth="1"/>
    <col min="4" max="4" width="18" style="2" customWidth="1"/>
    <col min="5" max="5" width="19.375" style="2" customWidth="1"/>
    <col min="6" max="6" width="2.75" customWidth="1"/>
    <col min="7" max="7" width="6" hidden="1" customWidth="1"/>
    <col min="8" max="13" width="2.75" customWidth="1"/>
    <col min="14" max="14" width="3.125" customWidth="1"/>
    <col min="15" max="36" width="2.75" customWidth="1"/>
  </cols>
  <sheetData>
    <row r="1" spans="1:28" ht="95.25" customHeight="1" x14ac:dyDescent="0.2">
      <c r="A1" s="7"/>
      <c r="B1" s="75" t="s">
        <v>32</v>
      </c>
      <c r="C1" s="179" t="s">
        <v>43</v>
      </c>
      <c r="D1" s="179"/>
      <c r="E1" s="179"/>
      <c r="F1" s="81" t="str">
        <f t="shared" ref="F1:G56" si="0">IF(OR(ISBLANK(task_start),ISBLANK(task_end)),"",task_end-task_start+1)</f>
        <v/>
      </c>
      <c r="G1" s="81"/>
      <c r="H1" s="81"/>
      <c r="I1" s="81"/>
      <c r="J1" s="81"/>
      <c r="K1" s="81"/>
      <c r="L1" s="81"/>
      <c r="M1" s="81"/>
      <c r="N1" s="81"/>
      <c r="O1" s="81"/>
      <c r="P1" s="81"/>
      <c r="Q1" s="81"/>
      <c r="R1" s="81"/>
      <c r="S1" s="81"/>
      <c r="T1" s="81"/>
      <c r="U1" s="81"/>
      <c r="V1" s="81"/>
      <c r="W1" s="81"/>
      <c r="X1" s="81"/>
      <c r="Y1" s="81"/>
      <c r="Z1" s="81"/>
      <c r="AA1" s="81"/>
      <c r="AB1" s="81"/>
    </row>
    <row r="2" spans="1:28" ht="95.25" customHeight="1" x14ac:dyDescent="0.2">
      <c r="A2" s="7"/>
      <c r="B2" s="80" t="s">
        <v>45</v>
      </c>
      <c r="C2" s="179"/>
      <c r="D2" s="179"/>
      <c r="E2" s="179"/>
      <c r="F2" s="81"/>
      <c r="G2" s="81"/>
      <c r="H2" s="81"/>
      <c r="I2" s="81"/>
      <c r="J2" s="81"/>
      <c r="K2" s="81"/>
      <c r="L2" s="81"/>
      <c r="M2" s="81"/>
      <c r="N2" s="81"/>
      <c r="O2" s="81"/>
      <c r="P2" s="81"/>
      <c r="Q2" s="81"/>
      <c r="R2" s="81"/>
      <c r="S2" s="81"/>
      <c r="T2" s="81"/>
      <c r="U2" s="81"/>
      <c r="V2" s="81"/>
      <c r="W2" s="81"/>
      <c r="X2" s="81"/>
      <c r="Y2" s="81"/>
      <c r="Z2" s="81"/>
      <c r="AA2" s="81"/>
      <c r="AB2" s="81"/>
    </row>
    <row r="3" spans="1:28" ht="30" customHeight="1" x14ac:dyDescent="0.2">
      <c r="B3" s="32" t="s">
        <v>1</v>
      </c>
      <c r="C3" s="180"/>
      <c r="D3" s="180"/>
      <c r="E3" s="180"/>
      <c r="F3" s="81"/>
      <c r="G3" s="81"/>
      <c r="H3" s="81"/>
      <c r="I3" s="81"/>
      <c r="J3" s="81"/>
      <c r="K3" s="81"/>
      <c r="L3" s="81"/>
      <c r="M3" s="81"/>
      <c r="N3" s="81"/>
      <c r="O3" s="81"/>
      <c r="P3" s="81"/>
      <c r="Q3" s="81"/>
      <c r="R3" s="81"/>
      <c r="S3" s="81"/>
      <c r="T3" s="81"/>
      <c r="U3" s="81"/>
      <c r="V3" s="81"/>
      <c r="W3" s="81"/>
      <c r="X3" s="81"/>
      <c r="Y3" s="81"/>
      <c r="Z3" s="81"/>
      <c r="AA3" s="81"/>
      <c r="AB3" s="81"/>
    </row>
    <row r="4" spans="1:28" s="15" customFormat="1" ht="30" customHeight="1" x14ac:dyDescent="0.2">
      <c r="A4" s="7"/>
      <c r="B4" s="72" t="s">
        <v>21</v>
      </c>
      <c r="C4" s="12"/>
      <c r="D4" s="13"/>
      <c r="E4" s="13"/>
      <c r="F4" s="81"/>
      <c r="G4" s="81"/>
      <c r="H4" s="81"/>
      <c r="I4" s="81"/>
      <c r="J4" s="81"/>
      <c r="K4" s="81"/>
      <c r="L4" s="81"/>
      <c r="M4" s="81"/>
      <c r="N4" s="81"/>
      <c r="O4" s="81"/>
      <c r="P4" s="81"/>
      <c r="Q4" s="81"/>
      <c r="R4" s="81"/>
      <c r="S4" s="81"/>
      <c r="T4" s="81"/>
      <c r="U4" s="81"/>
      <c r="V4" s="81"/>
      <c r="W4" s="81"/>
      <c r="X4" s="81"/>
      <c r="Y4" s="81"/>
      <c r="Z4" s="81"/>
      <c r="AA4" s="81"/>
      <c r="AB4" s="81"/>
    </row>
    <row r="5" spans="1:28" s="15" customFormat="1" ht="30" customHeight="1" thickBot="1" x14ac:dyDescent="0.25">
      <c r="A5" s="7"/>
      <c r="B5" s="76" t="s">
        <v>2</v>
      </c>
      <c r="C5" s="33" t="s">
        <v>7</v>
      </c>
      <c r="D5" s="78">
        <v>45748</v>
      </c>
      <c r="E5" s="78">
        <v>45901</v>
      </c>
      <c r="F5" s="81"/>
      <c r="G5" s="81"/>
      <c r="H5" s="81"/>
      <c r="I5" s="81"/>
      <c r="J5" s="81"/>
      <c r="K5" s="81"/>
      <c r="L5" s="81"/>
      <c r="M5" s="81"/>
      <c r="N5" s="81"/>
      <c r="O5" s="81"/>
      <c r="P5" s="81"/>
      <c r="Q5" s="81"/>
      <c r="R5" s="81"/>
      <c r="S5" s="81"/>
      <c r="T5" s="81"/>
      <c r="U5" s="81"/>
      <c r="V5" s="81"/>
      <c r="W5" s="81"/>
      <c r="X5" s="81"/>
      <c r="Y5" s="81"/>
      <c r="Z5" s="81"/>
      <c r="AA5" s="81"/>
      <c r="AB5" s="81"/>
    </row>
    <row r="6" spans="1:28" s="15" customFormat="1" ht="30" customHeight="1" thickBot="1" x14ac:dyDescent="0.25">
      <c r="A6" s="82" t="s">
        <v>46</v>
      </c>
      <c r="B6" s="83" t="s">
        <v>33</v>
      </c>
      <c r="C6" s="84">
        <v>3.5</v>
      </c>
      <c r="D6" s="85">
        <v>3</v>
      </c>
      <c r="E6" s="86">
        <v>4</v>
      </c>
      <c r="F6" s="81"/>
      <c r="G6" s="81"/>
      <c r="H6" s="81"/>
      <c r="I6" s="81"/>
      <c r="J6" s="81"/>
      <c r="K6" s="81"/>
      <c r="L6" s="81"/>
      <c r="M6" s="81"/>
      <c r="N6" s="81"/>
      <c r="O6" s="81"/>
      <c r="P6" s="81"/>
      <c r="Q6" s="81"/>
      <c r="R6" s="81"/>
      <c r="S6" s="81"/>
      <c r="T6" s="81"/>
      <c r="U6" s="81"/>
      <c r="V6" s="81"/>
      <c r="W6" s="81"/>
      <c r="X6" s="81"/>
      <c r="Y6" s="81"/>
      <c r="Z6" s="81"/>
      <c r="AA6" s="81"/>
      <c r="AB6" s="81"/>
    </row>
    <row r="7" spans="1:28" s="15" customFormat="1" ht="30" customHeight="1" x14ac:dyDescent="0.2">
      <c r="A7" s="7"/>
      <c r="B7" s="71" t="s">
        <v>35</v>
      </c>
      <c r="C7" s="36">
        <v>3.5</v>
      </c>
      <c r="D7" s="51">
        <v>3</v>
      </c>
      <c r="E7" s="51">
        <v>5</v>
      </c>
      <c r="F7" s="81"/>
      <c r="G7" s="81"/>
      <c r="H7" s="81"/>
      <c r="I7" s="81"/>
      <c r="J7" s="81"/>
      <c r="K7" s="81"/>
      <c r="L7" s="81"/>
      <c r="M7" s="81"/>
      <c r="N7" s="81"/>
      <c r="O7" s="81"/>
      <c r="P7" s="81"/>
      <c r="Q7" s="81"/>
      <c r="R7" s="81"/>
      <c r="S7" s="81"/>
      <c r="T7" s="81"/>
      <c r="U7" s="81"/>
      <c r="V7" s="81"/>
      <c r="W7" s="81"/>
      <c r="X7" s="81"/>
      <c r="Y7" s="81"/>
      <c r="Z7" s="81"/>
      <c r="AA7" s="81"/>
      <c r="AB7" s="81"/>
    </row>
    <row r="8" spans="1:28" s="15" customFormat="1" ht="30" customHeight="1" x14ac:dyDescent="0.2">
      <c r="A8" s="7"/>
      <c r="B8" s="71" t="s">
        <v>34</v>
      </c>
      <c r="C8" s="36">
        <v>3.5</v>
      </c>
      <c r="D8" s="51">
        <v>5</v>
      </c>
      <c r="E8" s="51">
        <v>5</v>
      </c>
      <c r="F8" s="81"/>
      <c r="G8" s="81"/>
      <c r="H8" s="81"/>
      <c r="I8" s="81"/>
      <c r="J8" s="81"/>
      <c r="K8" s="81"/>
      <c r="L8" s="81"/>
      <c r="M8" s="81"/>
      <c r="N8" s="81"/>
      <c r="O8" s="81"/>
      <c r="P8" s="81"/>
      <c r="Q8" s="81"/>
      <c r="R8" s="81"/>
      <c r="S8" s="81"/>
      <c r="T8" s="81"/>
      <c r="U8" s="81"/>
      <c r="V8" s="81"/>
      <c r="W8" s="81"/>
      <c r="X8" s="81"/>
      <c r="Y8" s="81"/>
      <c r="Z8" s="81"/>
      <c r="AA8" s="81"/>
      <c r="AB8" s="81"/>
    </row>
    <row r="9" spans="1:28" s="15" customFormat="1" ht="30" customHeight="1" x14ac:dyDescent="0.2">
      <c r="A9" s="7"/>
      <c r="B9" s="71" t="s">
        <v>36</v>
      </c>
      <c r="C9" s="36">
        <v>3.5</v>
      </c>
      <c r="D9" s="51">
        <v>4</v>
      </c>
      <c r="E9" s="51">
        <v>5</v>
      </c>
      <c r="F9" s="81"/>
      <c r="G9" s="81"/>
      <c r="H9" s="81"/>
      <c r="I9" s="81"/>
      <c r="J9" s="81"/>
      <c r="K9" s="81"/>
      <c r="L9" s="81"/>
      <c r="M9" s="81"/>
      <c r="N9" s="81"/>
      <c r="O9" s="81"/>
      <c r="P9" s="81"/>
      <c r="Q9" s="81"/>
      <c r="R9" s="81"/>
      <c r="S9" s="81"/>
      <c r="T9" s="81"/>
      <c r="U9" s="81"/>
      <c r="V9" s="81"/>
      <c r="W9" s="81"/>
      <c r="X9" s="81"/>
      <c r="Y9" s="81"/>
      <c r="Z9" s="81"/>
      <c r="AA9" s="81"/>
      <c r="AB9" s="81"/>
    </row>
    <row r="10" spans="1:28" s="15" customFormat="1" ht="30" customHeight="1" thickBot="1" x14ac:dyDescent="0.25">
      <c r="A10" s="7"/>
      <c r="B10" s="71" t="s">
        <v>37</v>
      </c>
      <c r="C10" s="37">
        <v>3.5</v>
      </c>
      <c r="D10" s="87">
        <v>4</v>
      </c>
      <c r="E10" s="87">
        <v>5</v>
      </c>
      <c r="F10" s="81"/>
      <c r="G10" s="81"/>
      <c r="H10" s="81"/>
      <c r="I10" s="81"/>
      <c r="J10" s="81"/>
      <c r="K10" s="81"/>
      <c r="L10" s="81"/>
      <c r="M10" s="81"/>
      <c r="N10" s="81"/>
      <c r="O10" s="81"/>
      <c r="P10" s="81"/>
      <c r="Q10" s="81"/>
      <c r="R10" s="81"/>
      <c r="S10" s="81"/>
      <c r="T10" s="81"/>
      <c r="U10" s="81"/>
      <c r="V10" s="81"/>
      <c r="W10" s="81"/>
      <c r="X10" s="81"/>
      <c r="Y10" s="81"/>
      <c r="Z10" s="81"/>
      <c r="AA10" s="81"/>
      <c r="AB10" s="81"/>
    </row>
    <row r="11" spans="1:28" s="15" customFormat="1" ht="30" customHeight="1" thickBot="1" x14ac:dyDescent="0.25">
      <c r="A11" s="82" t="s">
        <v>47</v>
      </c>
      <c r="B11" s="83" t="s">
        <v>38</v>
      </c>
      <c r="C11" s="84">
        <v>3.5</v>
      </c>
      <c r="D11" s="85">
        <v>4</v>
      </c>
      <c r="E11" s="86">
        <v>5</v>
      </c>
      <c r="F11" s="81"/>
      <c r="G11" s="81"/>
      <c r="H11" s="81"/>
      <c r="I11" s="81"/>
      <c r="J11" s="81"/>
      <c r="K11" s="81"/>
      <c r="L11" s="81"/>
      <c r="M11" s="81"/>
      <c r="N11" s="81"/>
      <c r="O11" s="81"/>
      <c r="P11" s="81"/>
      <c r="Q11" s="81"/>
      <c r="R11" s="81"/>
      <c r="S11" s="81"/>
      <c r="T11" s="81"/>
      <c r="U11" s="81"/>
      <c r="V11" s="81"/>
      <c r="W11" s="81"/>
      <c r="X11" s="81"/>
      <c r="Y11" s="81"/>
      <c r="Z11" s="81"/>
      <c r="AA11" s="81"/>
      <c r="AB11" s="81"/>
    </row>
    <row r="12" spans="1:28" s="15" customFormat="1" ht="30" customHeight="1" thickBot="1" x14ac:dyDescent="0.35">
      <c r="A12" s="7"/>
      <c r="B12" s="71" t="s">
        <v>39</v>
      </c>
      <c r="C12" s="37">
        <v>3.5</v>
      </c>
      <c r="D12" s="53">
        <v>5</v>
      </c>
      <c r="E12" s="52">
        <v>5</v>
      </c>
      <c r="F12" s="9"/>
      <c r="G12" s="4">
        <f t="shared" si="0"/>
        <v>2</v>
      </c>
      <c r="T12" s="74"/>
      <c r="U12" s="74"/>
      <c r="AB12" s="79"/>
    </row>
    <row r="13" spans="1:28" s="15" customFormat="1" ht="30" customHeight="1" thickBot="1" x14ac:dyDescent="0.25">
      <c r="A13" s="6"/>
      <c r="B13" s="71" t="s">
        <v>40</v>
      </c>
      <c r="C13" s="88">
        <v>3.5</v>
      </c>
      <c r="D13" s="89">
        <v>5</v>
      </c>
      <c r="E13" s="90">
        <v>3</v>
      </c>
      <c r="F13" s="9"/>
      <c r="G13" s="4">
        <f t="shared" si="0"/>
        <v>2</v>
      </c>
    </row>
    <row r="14" spans="1:28" s="15" customFormat="1" ht="30" customHeight="1" thickBot="1" x14ac:dyDescent="0.25">
      <c r="A14" s="82" t="s">
        <v>48</v>
      </c>
      <c r="B14" s="83" t="s">
        <v>41</v>
      </c>
      <c r="C14" s="84">
        <v>3.5</v>
      </c>
      <c r="D14" s="91">
        <v>5</v>
      </c>
      <c r="E14" s="92">
        <v>5</v>
      </c>
      <c r="F14" s="9"/>
      <c r="G14" s="4">
        <f t="shared" si="0"/>
        <v>1.5</v>
      </c>
      <c r="X14" s="74"/>
    </row>
    <row r="15" spans="1:28" s="15" customFormat="1" ht="30" customHeight="1" thickBot="1" x14ac:dyDescent="0.25">
      <c r="A15" s="6"/>
      <c r="B15" s="71" t="s">
        <v>42</v>
      </c>
      <c r="C15" s="35">
        <v>3.5</v>
      </c>
      <c r="D15" s="53">
        <v>4</v>
      </c>
      <c r="E15" s="52">
        <v>3</v>
      </c>
      <c r="F15" s="9"/>
      <c r="G15" s="4"/>
      <c r="X15" s="74"/>
    </row>
    <row r="16" spans="1:28" s="15" customFormat="1" ht="30" customHeight="1" thickBot="1" x14ac:dyDescent="0.25">
      <c r="A16" s="6"/>
      <c r="B16" s="170" t="s">
        <v>44</v>
      </c>
      <c r="C16" s="170"/>
      <c r="D16" s="170"/>
      <c r="E16" s="170"/>
      <c r="F16" s="9"/>
      <c r="G16" s="4" t="e">
        <f t="shared" si="0"/>
        <v>#VALUE!</v>
      </c>
    </row>
    <row r="17" spans="1:24" s="15" customFormat="1" ht="30" customHeight="1" thickBot="1" x14ac:dyDescent="0.25">
      <c r="A17" s="7"/>
      <c r="B17" s="16" t="s">
        <v>20</v>
      </c>
      <c r="C17" s="17"/>
      <c r="D17" s="18"/>
      <c r="E17" s="18"/>
      <c r="F17" s="9"/>
      <c r="G17" s="4" t="e">
        <f t="shared" si="0"/>
        <v>#VALUE!</v>
      </c>
    </row>
    <row r="18" spans="1:24" s="15" customFormat="1" ht="30" customHeight="1" thickBot="1" x14ac:dyDescent="0.25">
      <c r="A18" s="7"/>
      <c r="B18" s="76" t="s">
        <v>2</v>
      </c>
      <c r="C18" s="33" t="s">
        <v>7</v>
      </c>
      <c r="D18" s="78">
        <v>45748</v>
      </c>
      <c r="E18" s="78">
        <v>45901</v>
      </c>
      <c r="F18" s="9"/>
      <c r="G18" s="4"/>
    </row>
    <row r="19" spans="1:24" s="15" customFormat="1" ht="30" customHeight="1" thickBot="1" x14ac:dyDescent="0.25">
      <c r="A19" s="82" t="s">
        <v>46</v>
      </c>
      <c r="B19" s="96" t="s">
        <v>33</v>
      </c>
      <c r="C19" s="97">
        <v>3.5</v>
      </c>
      <c r="D19" s="98">
        <v>3.72</v>
      </c>
      <c r="E19" s="99">
        <v>4.2699999999999996</v>
      </c>
      <c r="F19" s="9"/>
      <c r="G19" s="4"/>
    </row>
    <row r="20" spans="1:24" s="15" customFormat="1" ht="30" customHeight="1" thickBot="1" x14ac:dyDescent="0.25">
      <c r="A20" s="7"/>
      <c r="B20" s="70" t="s">
        <v>35</v>
      </c>
      <c r="C20" s="93">
        <v>3.5</v>
      </c>
      <c r="D20" s="94">
        <v>4.45</v>
      </c>
      <c r="E20" s="95">
        <v>4.63</v>
      </c>
      <c r="F20" s="9"/>
      <c r="G20" s="4"/>
    </row>
    <row r="21" spans="1:24" s="15" customFormat="1" ht="30" customHeight="1" thickBot="1" x14ac:dyDescent="0.25">
      <c r="A21" s="7"/>
      <c r="B21" s="70" t="s">
        <v>34</v>
      </c>
      <c r="C21" s="42">
        <v>3.5</v>
      </c>
      <c r="D21" s="60">
        <v>4.63</v>
      </c>
      <c r="E21" s="56">
        <v>5</v>
      </c>
      <c r="F21" s="9"/>
      <c r="G21" s="4"/>
    </row>
    <row r="22" spans="1:24" s="15" customFormat="1" ht="30" customHeight="1" thickBot="1" x14ac:dyDescent="0.25">
      <c r="A22" s="7"/>
      <c r="B22" s="70" t="s">
        <v>36</v>
      </c>
      <c r="C22" s="42">
        <v>3.5</v>
      </c>
      <c r="D22" s="60">
        <v>3</v>
      </c>
      <c r="E22" s="56">
        <v>5</v>
      </c>
      <c r="F22" s="9"/>
      <c r="G22" s="4"/>
    </row>
    <row r="23" spans="1:24" s="15" customFormat="1" ht="30" customHeight="1" thickBot="1" x14ac:dyDescent="0.25">
      <c r="A23" s="7"/>
      <c r="B23" s="70" t="s">
        <v>37</v>
      </c>
      <c r="C23" s="41">
        <v>3.5</v>
      </c>
      <c r="D23" s="100">
        <v>3.9</v>
      </c>
      <c r="E23" s="100">
        <v>4.63</v>
      </c>
      <c r="F23" s="9"/>
      <c r="G23" s="4"/>
    </row>
    <row r="24" spans="1:24" s="15" customFormat="1" ht="30" customHeight="1" thickBot="1" x14ac:dyDescent="0.25">
      <c r="A24" s="82" t="s">
        <v>47</v>
      </c>
      <c r="B24" s="96" t="s">
        <v>38</v>
      </c>
      <c r="C24" s="97">
        <v>3.5</v>
      </c>
      <c r="D24" s="98">
        <v>4.2699999999999996</v>
      </c>
      <c r="E24" s="99">
        <v>4.63</v>
      </c>
      <c r="F24" s="9"/>
      <c r="G24" s="4">
        <f t="shared" si="0"/>
        <v>1.1500000000000004</v>
      </c>
    </row>
    <row r="25" spans="1:24" s="15" customFormat="1" ht="30" customHeight="1" thickBot="1" x14ac:dyDescent="0.25">
      <c r="A25" s="7"/>
      <c r="B25" s="70" t="s">
        <v>39</v>
      </c>
      <c r="C25" s="93">
        <v>3.5</v>
      </c>
      <c r="D25" s="94">
        <v>4.2699999999999996</v>
      </c>
      <c r="E25" s="95">
        <v>4.82</v>
      </c>
      <c r="F25" s="9"/>
      <c r="G25" s="4">
        <f t="shared" si="0"/>
        <v>1.0999999999999996</v>
      </c>
      <c r="T25" s="74"/>
      <c r="U25" s="74"/>
    </row>
    <row r="26" spans="1:24" s="15" customFormat="1" ht="30" customHeight="1" thickBot="1" x14ac:dyDescent="0.25">
      <c r="A26" s="6"/>
      <c r="B26" s="70" t="s">
        <v>40</v>
      </c>
      <c r="C26" s="42">
        <v>3.5</v>
      </c>
      <c r="D26" s="101">
        <v>3.72</v>
      </c>
      <c r="E26" s="100">
        <v>5</v>
      </c>
      <c r="F26" s="9"/>
      <c r="G26" s="4">
        <f t="shared" si="0"/>
        <v>0.71499999999999986</v>
      </c>
    </row>
    <row r="27" spans="1:24" s="15" customFormat="1" ht="30" customHeight="1" thickBot="1" x14ac:dyDescent="0.25">
      <c r="A27" s="82" t="s">
        <v>48</v>
      </c>
      <c r="B27" s="96" t="s">
        <v>41</v>
      </c>
      <c r="C27" s="97">
        <v>3.5</v>
      </c>
      <c r="D27" s="103">
        <v>4.45</v>
      </c>
      <c r="E27" s="99">
        <v>5</v>
      </c>
      <c r="F27" s="9"/>
      <c r="G27" s="4">
        <f t="shared" si="0"/>
        <v>1.7249999999999996</v>
      </c>
      <c r="X27" s="74"/>
    </row>
    <row r="28" spans="1:24" s="15" customFormat="1" ht="30" customHeight="1" thickBot="1" x14ac:dyDescent="0.25">
      <c r="A28" s="6"/>
      <c r="B28" s="70" t="s">
        <v>42</v>
      </c>
      <c r="C28" s="102">
        <v>3.5</v>
      </c>
      <c r="D28" s="94">
        <v>3</v>
      </c>
      <c r="E28" s="94">
        <v>3.63</v>
      </c>
      <c r="F28" s="9"/>
      <c r="G28" s="4" t="str">
        <f t="shared" si="0"/>
        <v/>
      </c>
    </row>
    <row r="29" spans="1:24" s="15" customFormat="1" ht="121.5" customHeight="1" thickBot="1" x14ac:dyDescent="0.25">
      <c r="A29" s="6"/>
      <c r="B29" s="170" t="s">
        <v>49</v>
      </c>
      <c r="C29" s="170"/>
      <c r="D29" s="170"/>
      <c r="E29" s="170"/>
      <c r="F29" s="9"/>
      <c r="G29" s="4"/>
    </row>
    <row r="30" spans="1:24" s="15" customFormat="1" ht="30" customHeight="1" thickBot="1" x14ac:dyDescent="0.25">
      <c r="A30" s="6"/>
      <c r="B30" s="20" t="s">
        <v>18</v>
      </c>
      <c r="C30" s="21"/>
      <c r="D30" s="22"/>
      <c r="E30" s="22"/>
      <c r="F30" s="9"/>
      <c r="G30" s="4" t="str">
        <f t="shared" si="0"/>
        <v/>
      </c>
    </row>
    <row r="31" spans="1:24" s="15" customFormat="1" ht="30" customHeight="1" thickBot="1" x14ac:dyDescent="0.25">
      <c r="A31" s="6"/>
      <c r="B31" s="76" t="s">
        <v>2</v>
      </c>
      <c r="C31" s="33" t="s">
        <v>7</v>
      </c>
      <c r="D31" s="78" t="s">
        <v>51</v>
      </c>
      <c r="E31" s="78" t="s">
        <v>50</v>
      </c>
      <c r="F31" s="9"/>
      <c r="G31" s="4"/>
    </row>
    <row r="32" spans="1:24" s="15" customFormat="1" ht="30" customHeight="1" thickBot="1" x14ac:dyDescent="0.25">
      <c r="A32" s="82" t="s">
        <v>46</v>
      </c>
      <c r="B32" s="105" t="s">
        <v>33</v>
      </c>
      <c r="C32" s="106">
        <v>3.5</v>
      </c>
      <c r="D32" s="107">
        <v>5</v>
      </c>
      <c r="E32" s="108">
        <v>3.67</v>
      </c>
      <c r="F32" s="9"/>
      <c r="G32" s="4"/>
    </row>
    <row r="33" spans="1:7" s="15" customFormat="1" ht="30" customHeight="1" thickBot="1" x14ac:dyDescent="0.25">
      <c r="A33" s="7"/>
      <c r="B33" s="69" t="s">
        <v>35</v>
      </c>
      <c r="C33" s="48">
        <v>3.5</v>
      </c>
      <c r="D33" s="104">
        <v>4.3</v>
      </c>
      <c r="E33" s="104">
        <v>4.33</v>
      </c>
      <c r="F33" s="9"/>
      <c r="G33" s="4"/>
    </row>
    <row r="34" spans="1:7" s="15" customFormat="1" ht="30" customHeight="1" thickBot="1" x14ac:dyDescent="0.25">
      <c r="A34" s="7"/>
      <c r="B34" s="69" t="s">
        <v>34</v>
      </c>
      <c r="C34" s="50">
        <v>3.5</v>
      </c>
      <c r="D34" s="61">
        <v>5</v>
      </c>
      <c r="E34" s="63">
        <v>5</v>
      </c>
      <c r="F34" s="9"/>
      <c r="G34" s="4"/>
    </row>
    <row r="35" spans="1:7" s="15" customFormat="1" ht="30" customHeight="1" thickBot="1" x14ac:dyDescent="0.25">
      <c r="A35" s="7"/>
      <c r="B35" s="69" t="s">
        <v>36</v>
      </c>
      <c r="C35" s="50">
        <v>3.5</v>
      </c>
      <c r="D35" s="61">
        <v>5</v>
      </c>
      <c r="E35" s="62">
        <v>4.33</v>
      </c>
      <c r="F35" s="9"/>
      <c r="G35" s="4"/>
    </row>
    <row r="36" spans="1:7" s="15" customFormat="1" ht="30" customHeight="1" thickBot="1" x14ac:dyDescent="0.25">
      <c r="A36" s="7"/>
      <c r="B36" s="69" t="s">
        <v>37</v>
      </c>
      <c r="C36" s="50">
        <v>3.5</v>
      </c>
      <c r="D36" s="109">
        <v>5</v>
      </c>
      <c r="E36" s="110">
        <v>4.33</v>
      </c>
      <c r="F36" s="9"/>
      <c r="G36" s="4"/>
    </row>
    <row r="37" spans="1:7" s="15" customFormat="1" ht="30" customHeight="1" thickBot="1" x14ac:dyDescent="0.25">
      <c r="A37" s="82" t="s">
        <v>47</v>
      </c>
      <c r="B37" s="105" t="s">
        <v>38</v>
      </c>
      <c r="C37" s="106">
        <v>3.5</v>
      </c>
      <c r="D37" s="107">
        <v>3.67</v>
      </c>
      <c r="E37" s="108">
        <v>4.67</v>
      </c>
      <c r="F37" s="9"/>
      <c r="G37" s="4" t="str">
        <f t="shared" si="0"/>
        <v/>
      </c>
    </row>
    <row r="38" spans="1:7" s="15" customFormat="1" ht="30" customHeight="1" thickBot="1" x14ac:dyDescent="0.25">
      <c r="A38" s="7"/>
      <c r="B38" s="69" t="s">
        <v>39</v>
      </c>
      <c r="C38" s="48">
        <v>3.5</v>
      </c>
      <c r="D38" s="104">
        <v>4.3</v>
      </c>
      <c r="E38" s="104">
        <v>3.67</v>
      </c>
      <c r="F38" s="9"/>
      <c r="G38" s="4" t="str">
        <f t="shared" si="0"/>
        <v/>
      </c>
    </row>
    <row r="39" spans="1:7" s="15" customFormat="1" ht="30" customHeight="1" thickBot="1" x14ac:dyDescent="0.25">
      <c r="A39" s="6"/>
      <c r="B39" s="69" t="s">
        <v>40</v>
      </c>
      <c r="C39" s="50">
        <v>3.5</v>
      </c>
      <c r="D39" s="109">
        <v>4.3</v>
      </c>
      <c r="E39" s="111">
        <v>4.33</v>
      </c>
      <c r="F39" s="9"/>
      <c r="G39" s="4" t="str">
        <f t="shared" si="0"/>
        <v/>
      </c>
    </row>
    <row r="40" spans="1:7" s="15" customFormat="1" ht="30" customHeight="1" thickBot="1" x14ac:dyDescent="0.25">
      <c r="A40" s="82" t="s">
        <v>48</v>
      </c>
      <c r="B40" s="105" t="s">
        <v>41</v>
      </c>
      <c r="C40" s="106">
        <v>3.5</v>
      </c>
      <c r="D40" s="107">
        <v>5</v>
      </c>
      <c r="E40" s="108">
        <v>5</v>
      </c>
      <c r="F40" s="9"/>
      <c r="G40" s="4" t="str">
        <f t="shared" si="0"/>
        <v/>
      </c>
    </row>
    <row r="41" spans="1:7" s="15" customFormat="1" ht="30" customHeight="1" thickBot="1" x14ac:dyDescent="0.25">
      <c r="A41" s="6"/>
      <c r="B41" s="69" t="s">
        <v>42</v>
      </c>
      <c r="C41" s="112">
        <v>3.5</v>
      </c>
      <c r="D41" s="104">
        <v>1.67</v>
      </c>
      <c r="E41" s="113">
        <v>3</v>
      </c>
      <c r="F41" s="9"/>
      <c r="G41" s="4" t="str">
        <f t="shared" si="0"/>
        <v/>
      </c>
    </row>
    <row r="42" spans="1:7" s="15" customFormat="1" ht="30" customHeight="1" thickBot="1" x14ac:dyDescent="0.25">
      <c r="A42" s="6"/>
      <c r="B42" s="170" t="s">
        <v>52</v>
      </c>
      <c r="C42" s="170"/>
      <c r="D42" s="170"/>
      <c r="E42" s="170"/>
      <c r="F42" s="9"/>
      <c r="G42" s="4"/>
    </row>
    <row r="43" spans="1:7" s="15" customFormat="1" ht="30" customHeight="1" thickBot="1" x14ac:dyDescent="0.25">
      <c r="A43" s="6"/>
      <c r="B43" s="24" t="s">
        <v>19</v>
      </c>
      <c r="C43" s="25"/>
      <c r="D43" s="26"/>
      <c r="E43" s="26"/>
      <c r="F43" s="9"/>
      <c r="G43" s="4" t="str">
        <f t="shared" si="0"/>
        <v/>
      </c>
    </row>
    <row r="44" spans="1:7" s="15" customFormat="1" ht="30" customHeight="1" thickBot="1" x14ac:dyDescent="0.25">
      <c r="A44" s="6"/>
      <c r="B44" s="77" t="s">
        <v>2</v>
      </c>
      <c r="C44" s="33" t="s">
        <v>7</v>
      </c>
      <c r="D44" s="78">
        <v>45748</v>
      </c>
      <c r="E44" s="78">
        <v>45901</v>
      </c>
      <c r="F44" s="9"/>
      <c r="G44" s="4"/>
    </row>
    <row r="45" spans="1:7" s="15" customFormat="1" ht="30" customHeight="1" thickBot="1" x14ac:dyDescent="0.25">
      <c r="A45" s="82" t="s">
        <v>46</v>
      </c>
      <c r="B45" s="116" t="s">
        <v>33</v>
      </c>
      <c r="C45" s="117">
        <v>3.5</v>
      </c>
      <c r="D45" s="118">
        <v>3</v>
      </c>
      <c r="E45" s="119">
        <v>4.5999999999999996</v>
      </c>
      <c r="F45" s="9"/>
      <c r="G45" s="4"/>
    </row>
    <row r="46" spans="1:7" s="15" customFormat="1" ht="30" customHeight="1" thickBot="1" x14ac:dyDescent="0.25">
      <c r="A46" s="7"/>
      <c r="B46" s="68" t="s">
        <v>35</v>
      </c>
      <c r="C46" s="43">
        <v>3.5</v>
      </c>
      <c r="D46" s="114">
        <v>3</v>
      </c>
      <c r="E46" s="115">
        <v>3.4</v>
      </c>
      <c r="F46" s="9"/>
      <c r="G46" s="4"/>
    </row>
    <row r="47" spans="1:7" s="15" customFormat="1" ht="30" customHeight="1" thickBot="1" x14ac:dyDescent="0.25">
      <c r="A47" s="7"/>
      <c r="B47" s="68" t="s">
        <v>34</v>
      </c>
      <c r="C47" s="45">
        <v>3.5</v>
      </c>
      <c r="D47" s="64">
        <v>3</v>
      </c>
      <c r="E47" s="66">
        <v>4.5999999999999996</v>
      </c>
      <c r="F47" s="9"/>
      <c r="G47" s="4"/>
    </row>
    <row r="48" spans="1:7" s="15" customFormat="1" ht="30" customHeight="1" thickBot="1" x14ac:dyDescent="0.25">
      <c r="A48" s="7"/>
      <c r="B48" s="68" t="s">
        <v>36</v>
      </c>
      <c r="C48" s="47">
        <v>3.5</v>
      </c>
      <c r="D48" s="65">
        <v>2</v>
      </c>
      <c r="E48" s="66">
        <v>4.2</v>
      </c>
      <c r="F48" s="9"/>
      <c r="G48" s="4"/>
    </row>
    <row r="49" spans="1:7" s="15" customFormat="1" ht="30" customHeight="1" thickBot="1" x14ac:dyDescent="0.25">
      <c r="A49" s="7"/>
      <c r="B49" s="68" t="s">
        <v>37</v>
      </c>
      <c r="C49" s="47">
        <v>3.5</v>
      </c>
      <c r="D49" s="120">
        <v>3</v>
      </c>
      <c r="E49" s="121">
        <v>3</v>
      </c>
      <c r="F49" s="9"/>
      <c r="G49" s="4"/>
    </row>
    <row r="50" spans="1:7" s="15" customFormat="1" ht="30" customHeight="1" thickBot="1" x14ac:dyDescent="0.25">
      <c r="A50" s="82" t="s">
        <v>47</v>
      </c>
      <c r="B50" s="116" t="s">
        <v>38</v>
      </c>
      <c r="C50" s="117">
        <v>3.5</v>
      </c>
      <c r="D50" s="118">
        <v>3</v>
      </c>
      <c r="E50" s="119">
        <v>3.4</v>
      </c>
      <c r="F50" s="9"/>
      <c r="G50" s="4" t="str">
        <f t="shared" si="0"/>
        <v/>
      </c>
    </row>
    <row r="51" spans="1:7" s="15" customFormat="1" ht="30" customHeight="1" thickBot="1" x14ac:dyDescent="0.25">
      <c r="A51" s="7"/>
      <c r="B51" s="68" t="s">
        <v>39</v>
      </c>
      <c r="C51" s="43">
        <v>3.5</v>
      </c>
      <c r="D51" s="114">
        <v>3</v>
      </c>
      <c r="E51" s="115">
        <v>2.6</v>
      </c>
      <c r="F51" s="9"/>
      <c r="G51" s="4" t="str">
        <f t="shared" si="0"/>
        <v/>
      </c>
    </row>
    <row r="52" spans="1:7" s="15" customFormat="1" ht="30" customHeight="1" thickBot="1" x14ac:dyDescent="0.25">
      <c r="A52" s="6"/>
      <c r="B52" s="68" t="s">
        <v>40</v>
      </c>
      <c r="C52" s="45">
        <v>3.5</v>
      </c>
      <c r="D52" s="122">
        <v>3</v>
      </c>
      <c r="E52" s="121">
        <v>3</v>
      </c>
      <c r="F52" s="9"/>
      <c r="G52" s="4" t="str">
        <f t="shared" si="0"/>
        <v/>
      </c>
    </row>
    <row r="53" spans="1:7" s="15" customFormat="1" ht="30" customHeight="1" thickBot="1" x14ac:dyDescent="0.25">
      <c r="A53" s="82" t="s">
        <v>48</v>
      </c>
      <c r="B53" s="116" t="s">
        <v>41</v>
      </c>
      <c r="C53" s="117">
        <v>3.5</v>
      </c>
      <c r="D53" s="125">
        <v>3</v>
      </c>
      <c r="E53" s="119">
        <v>3</v>
      </c>
      <c r="F53" s="9"/>
      <c r="G53" s="4" t="str">
        <f t="shared" si="0"/>
        <v/>
      </c>
    </row>
    <row r="54" spans="1:7" s="15" customFormat="1" ht="30" customHeight="1" thickBot="1" x14ac:dyDescent="0.25">
      <c r="A54" s="6"/>
      <c r="B54" s="68" t="s">
        <v>42</v>
      </c>
      <c r="C54" s="123">
        <v>3.5</v>
      </c>
      <c r="D54" s="124">
        <v>3</v>
      </c>
      <c r="E54" s="115">
        <v>3</v>
      </c>
      <c r="F54" s="9"/>
      <c r="G54" s="4" t="str">
        <f t="shared" si="0"/>
        <v/>
      </c>
    </row>
    <row r="55" spans="1:7" s="15" customFormat="1" ht="30" customHeight="1" thickBot="1" x14ac:dyDescent="0.25">
      <c r="A55" s="6"/>
      <c r="B55" s="170" t="s">
        <v>22</v>
      </c>
      <c r="C55" s="170"/>
      <c r="D55" s="170"/>
      <c r="E55" s="170"/>
      <c r="F55" s="9"/>
      <c r="G55" s="4" t="str">
        <f t="shared" si="0"/>
        <v/>
      </c>
    </row>
    <row r="56" spans="1:7" s="15" customFormat="1" ht="30" customHeight="1" thickBot="1" x14ac:dyDescent="0.25">
      <c r="A56" s="7"/>
      <c r="B56" s="28" t="s">
        <v>0</v>
      </c>
      <c r="C56" s="29"/>
      <c r="D56" s="30"/>
      <c r="E56" s="30"/>
      <c r="F56" s="9"/>
      <c r="G56" s="5" t="str">
        <f t="shared" si="0"/>
        <v/>
      </c>
    </row>
    <row r="57" spans="1:7" ht="30" customHeight="1" x14ac:dyDescent="0.2">
      <c r="F57" s="3"/>
    </row>
  </sheetData>
  <mergeCells count="5">
    <mergeCell ref="B42:E42"/>
    <mergeCell ref="B55:E55"/>
    <mergeCell ref="C1:E3"/>
    <mergeCell ref="B16:E16"/>
    <mergeCell ref="B29:E29"/>
  </mergeCells>
  <conditionalFormatting sqref="B4:B5">
    <cfRule type="dataBar" priority="5">
      <dataBar>
        <cfvo type="num" val="0"/>
        <cfvo type="num" val="1"/>
        <color theme="0"/>
      </dataBar>
      <extLst>
        <ext xmlns:x14="http://schemas.microsoft.com/office/spreadsheetml/2009/9/main" uri="{B025F937-C7B1-47D3-B67F-A62EFF666E3E}">
          <x14:id>{F42170F6-62B9-4811-83AB-C4E143E0B8C3}</x14:id>
        </ext>
      </extLst>
    </cfRule>
  </conditionalFormatting>
  <conditionalFormatting sqref="C17:C18 C30:C31 C43:C44 C56 C4:C5">
    <cfRule type="dataBar" priority="12">
      <dataBar>
        <cfvo type="num" val="0"/>
        <cfvo type="num" val="1"/>
        <color theme="0"/>
      </dataBar>
      <extLst>
        <ext xmlns:x14="http://schemas.microsoft.com/office/spreadsheetml/2009/9/main" uri="{B025F937-C7B1-47D3-B67F-A62EFF666E3E}">
          <x14:id>{E0378EAB-0F55-4DAC-9241-E3DB4A0BC724}</x14:id>
        </ext>
      </extLst>
    </cfRule>
  </conditionalFormatting>
  <conditionalFormatting sqref="H13:AI54 AC4:AI12 H12:AA12">
    <cfRule type="expression" dxfId="17" priority="72">
      <formula>AND(TODAY()&gt;=#REF!, TODAY()&lt;#REF!)</formula>
    </cfRule>
  </conditionalFormatting>
  <conditionalFormatting sqref="H24:AI29">
    <cfRule type="expression" dxfId="16" priority="8">
      <formula>AND(task_start&lt;=#REF!,ROUNDDOWN((task_end-task_start+1)*task_progress,0)+task_start-1&gt;=#REF!)</formula>
    </cfRule>
    <cfRule type="expression" dxfId="15" priority="9" stopIfTrue="1">
      <formula>AND(task_end&gt;=#REF!,task_start&lt;#REF!)</formula>
    </cfRule>
  </conditionalFormatting>
  <conditionalFormatting sqref="H37:AI42">
    <cfRule type="expression" dxfId="14" priority="6">
      <formula>AND(task_start&lt;=#REF!,ROUNDDOWN((task_end-task_start+1)*task_progress,0)+task_start-1&gt;=#REF!)</formula>
    </cfRule>
    <cfRule type="expression" dxfId="13" priority="7" stopIfTrue="1">
      <formula>AND(task_end&gt;=#REF!,task_start&lt;#REF!)</formula>
    </cfRule>
  </conditionalFormatting>
  <conditionalFormatting sqref="H50:AI54">
    <cfRule type="expression" dxfId="12" priority="13">
      <formula>AND(task_start&lt;=#REF!,ROUNDDOWN((task_end-task_start+1)*task_progress,0)+task_start-1&gt;=#REF!)</formula>
    </cfRule>
    <cfRule type="expression" dxfId="11" priority="14" stopIfTrue="1">
      <formula>AND(task_end&gt;=#REF!,task_start&lt;#REF!)</formula>
    </cfRule>
  </conditionalFormatting>
  <conditionalFormatting sqref="AC11:AI12 H12:AA12 H13:AI16">
    <cfRule type="expression" dxfId="10" priority="10">
      <formula>AND(task_start&lt;=#REF!,ROUNDDOWN((task_end-task_start+1)*task_progress,0)+task_start-1&gt;=#REF!)</formula>
    </cfRule>
    <cfRule type="expression" dxfId="9" priority="11" stopIfTrue="1">
      <formula>AND(task_end&gt;=#REF!,task_start&lt;#REF!)</formula>
    </cfRule>
  </conditionalFormatting>
  <dataValidations count="9">
    <dataValidation allowBlank="1" showInputMessage="1" showErrorMessage="1" prompt="This row marks the end of the Project Schedule. DO NOT enter anything in this row. _x000a_Insert new rows ABOVE this one to continue building out your Project Schedule." sqref="A56" xr:uid="{F6C679A9-E4BF-4667-B315-0BD645E4CB38}"/>
    <dataValidation allowBlank="1" showInputMessage="1" showErrorMessage="1" prompt="Phase 4's sample block starts in cell B26." sqref="A43:A44" xr:uid="{AA56DDFE-BB60-45CF-9A5C-066F277004DB}"/>
    <dataValidation allowBlank="1" showInputMessage="1" showErrorMessage="1" prompt="Phase 3's sample block starts in cell B20." sqref="A30:A31" xr:uid="{D8444CCB-59D6-4AEA-B1C1-D88E6656912E}"/>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7:A18" xr:uid="{33AAE034-6DEB-40A3-B930-0A1E922C0FB0}"/>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2 A25 A38 A51" xr:uid="{2B2A47E0-46FA-426E-9C63-09E6087F4CC1}"/>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11 A24 A37 A50" xr:uid="{355EBE35-03B5-4DAF-B187-3794D3AE33D8}"/>
    <dataValidation allowBlank="1" showInputMessage="1" showErrorMessage="1" prompt="Cell B8 contains the Phase 1 sample title. Enter a new title in cell B8._x000a_To delete the phase and work only from tasks, simply delete this row." sqref="A4:A10 A19:A23 A32:A36 A45:A49" xr:uid="{0E1EBC2C-ACD8-417A-BBC9-90FCFF866677}"/>
    <dataValidation allowBlank="1" showInputMessage="1" showErrorMessage="1" prompt="Enter Company name in cel B2." sqref="A3" xr:uid="{CAB228A4-1691-4D36-B1FA-F9001EAB3FF4}"/>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A2" xr:uid="{5F35DE4A-C174-4879-A344-77BFD826AA39}"/>
  </dataValidations>
  <pageMargins left="0.7" right="0.7" top="0.75" bottom="0.75" header="0.3" footer="0.3"/>
  <pageSetup orientation="landscape" r:id="rId1"/>
  <drawing r:id="rId2"/>
  <extLst>
    <ext xmlns:x14="http://schemas.microsoft.com/office/spreadsheetml/2009/9/main" uri="{78C0D931-6437-407d-A8EE-F0AAD7539E65}">
      <x14:conditionalFormattings>
        <x14:conditionalFormatting xmlns:xm="http://schemas.microsoft.com/office/excel/2006/main">
          <x14:cfRule type="dataBar" id="{F42170F6-62B9-4811-83AB-C4E143E0B8C3}">
            <x14:dataBar minLength="0" maxLength="100" gradient="0">
              <x14:cfvo type="num">
                <xm:f>0</xm:f>
              </x14:cfvo>
              <x14:cfvo type="num">
                <xm:f>1</xm:f>
              </x14:cfvo>
              <x14:negativeFillColor rgb="FFFF0000"/>
              <x14:axisColor rgb="FF000000"/>
            </x14:dataBar>
          </x14:cfRule>
          <xm:sqref>B4:B5</xm:sqref>
        </x14:conditionalFormatting>
        <x14:conditionalFormatting xmlns:xm="http://schemas.microsoft.com/office/excel/2006/main">
          <x14:cfRule type="dataBar" id="{E0378EAB-0F55-4DAC-9241-E3DB4A0BC724}">
            <x14:dataBar minLength="0" maxLength="100" gradient="0">
              <x14:cfvo type="num">
                <xm:f>0</xm:f>
              </x14:cfvo>
              <x14:cfvo type="num">
                <xm:f>1</xm:f>
              </x14:cfvo>
              <x14:negativeFillColor rgb="FFFF0000"/>
              <x14:axisColor rgb="FF000000"/>
            </x14:dataBar>
          </x14:cfRule>
          <xm:sqref>C17:C18 C30:C31 C43:C44 C56 C4:C5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49C9C-5949-4A9E-A481-551CB5F935FD}">
  <dimension ref="A1:AB59"/>
  <sheetViews>
    <sheetView tabSelected="1" topLeftCell="A40" workbookViewId="0">
      <selection activeCell="E47" sqref="E47"/>
    </sheetView>
  </sheetViews>
  <sheetFormatPr defaultColWidth="8.75" defaultRowHeight="30" customHeight="1" x14ac:dyDescent="0.2"/>
  <cols>
    <col min="1" max="1" width="18.625" style="6" customWidth="1"/>
    <col min="2" max="2" width="98.875" customWidth="1"/>
    <col min="3" max="3" width="10.75" customWidth="1"/>
    <col min="4" max="4" width="18" style="2" customWidth="1"/>
    <col min="5" max="5" width="19.375" style="2" customWidth="1"/>
    <col min="6" max="6" width="2.75" customWidth="1"/>
    <col min="7" max="7" width="6" hidden="1" customWidth="1"/>
    <col min="8" max="13" width="2.75" customWidth="1"/>
    <col min="14" max="14" width="3.125" customWidth="1"/>
    <col min="15" max="36" width="2.75" customWidth="1"/>
  </cols>
  <sheetData>
    <row r="1" spans="1:28" ht="95.25" customHeight="1" x14ac:dyDescent="0.2">
      <c r="A1" s="7"/>
      <c r="B1" s="75" t="s">
        <v>53</v>
      </c>
      <c r="C1" s="179" t="s">
        <v>43</v>
      </c>
      <c r="D1" s="179"/>
      <c r="E1" s="179"/>
      <c r="F1" s="81" t="str">
        <f t="shared" ref="F1:G58" si="0">IF(OR(ISBLANK(task_start),ISBLANK(task_end)),"",task_end-task_start+1)</f>
        <v/>
      </c>
      <c r="G1" s="81"/>
      <c r="H1" s="81"/>
      <c r="I1" s="81"/>
      <c r="J1" s="81"/>
      <c r="K1" s="81"/>
      <c r="L1" s="81"/>
      <c r="M1" s="81"/>
      <c r="N1" s="81"/>
      <c r="O1" s="81"/>
      <c r="P1" s="81"/>
      <c r="Q1" s="81"/>
      <c r="R1" s="81"/>
      <c r="S1" s="81"/>
      <c r="T1" s="81"/>
      <c r="U1" s="81"/>
      <c r="V1" s="81"/>
      <c r="W1" s="81"/>
      <c r="X1" s="81"/>
      <c r="Y1" s="81"/>
      <c r="Z1" s="81"/>
      <c r="AA1" s="81"/>
      <c r="AB1" s="81"/>
    </row>
    <row r="2" spans="1:28" ht="95.25" customHeight="1" x14ac:dyDescent="0.2">
      <c r="A2" s="7"/>
      <c r="B2" s="80" t="s">
        <v>45</v>
      </c>
      <c r="C2" s="179"/>
      <c r="D2" s="179"/>
      <c r="E2" s="179"/>
      <c r="F2" s="81"/>
      <c r="G2" s="81"/>
      <c r="H2" s="81"/>
      <c r="I2" s="81"/>
      <c r="J2" s="81"/>
      <c r="K2" s="81"/>
      <c r="L2" s="81"/>
      <c r="M2" s="81"/>
      <c r="N2" s="81"/>
      <c r="O2" s="81"/>
      <c r="P2" s="81"/>
      <c r="Q2" s="81"/>
      <c r="R2" s="81"/>
      <c r="S2" s="81"/>
      <c r="T2" s="81"/>
      <c r="U2" s="81"/>
      <c r="V2" s="81"/>
      <c r="W2" s="81"/>
      <c r="X2" s="81"/>
      <c r="Y2" s="81"/>
      <c r="Z2" s="81"/>
      <c r="AA2" s="81"/>
      <c r="AB2" s="81"/>
    </row>
    <row r="3" spans="1:28" ht="30" customHeight="1" x14ac:dyDescent="0.2">
      <c r="B3" s="32" t="s">
        <v>1</v>
      </c>
      <c r="C3" s="180"/>
      <c r="D3" s="180"/>
      <c r="E3" s="180"/>
      <c r="F3" s="81"/>
      <c r="G3" s="81"/>
      <c r="H3" s="81"/>
      <c r="I3" s="81"/>
      <c r="J3" s="81"/>
      <c r="K3" s="81"/>
      <c r="L3" s="81"/>
      <c r="M3" s="81"/>
      <c r="N3" s="81"/>
      <c r="O3" s="81"/>
      <c r="P3" s="81"/>
      <c r="Q3" s="81"/>
      <c r="R3" s="81"/>
      <c r="S3" s="81"/>
      <c r="T3" s="81"/>
      <c r="U3" s="81"/>
      <c r="V3" s="81"/>
      <c r="W3" s="81"/>
      <c r="X3" s="81"/>
      <c r="Y3" s="81"/>
      <c r="Z3" s="81"/>
      <c r="AA3" s="81"/>
      <c r="AB3" s="81"/>
    </row>
    <row r="4" spans="1:28" s="15" customFormat="1" ht="30" customHeight="1" x14ac:dyDescent="0.2">
      <c r="A4" s="7"/>
      <c r="B4" s="72" t="s">
        <v>21</v>
      </c>
      <c r="C4" s="12"/>
      <c r="D4" s="13"/>
      <c r="E4" s="13"/>
      <c r="F4" s="81"/>
      <c r="G4" s="81"/>
      <c r="H4" s="81"/>
      <c r="I4" s="81"/>
      <c r="J4" s="81"/>
      <c r="K4" s="81"/>
      <c r="L4" s="81"/>
      <c r="M4" s="81"/>
      <c r="N4" s="81"/>
      <c r="O4" s="81"/>
      <c r="P4" s="81"/>
      <c r="Q4" s="81"/>
      <c r="R4" s="81"/>
      <c r="S4" s="81"/>
      <c r="T4" s="81"/>
      <c r="U4" s="81"/>
      <c r="V4" s="81"/>
      <c r="W4" s="81"/>
      <c r="X4" s="81"/>
      <c r="Y4" s="81"/>
      <c r="Z4" s="81"/>
      <c r="AA4" s="81"/>
      <c r="AB4" s="81"/>
    </row>
    <row r="5" spans="1:28" s="15" customFormat="1" ht="30" customHeight="1" thickBot="1" x14ac:dyDescent="0.25">
      <c r="A5" s="7"/>
      <c r="B5" s="76" t="s">
        <v>2</v>
      </c>
      <c r="C5" s="33" t="s">
        <v>7</v>
      </c>
      <c r="D5" s="78">
        <v>46114</v>
      </c>
      <c r="E5" s="78">
        <v>46266</v>
      </c>
      <c r="F5" s="81"/>
      <c r="G5" s="81"/>
      <c r="H5" s="81"/>
      <c r="I5" s="81"/>
      <c r="J5" s="81"/>
      <c r="K5" s="81"/>
      <c r="L5" s="81"/>
      <c r="M5" s="81"/>
      <c r="N5" s="81"/>
      <c r="O5" s="81"/>
      <c r="P5" s="81"/>
      <c r="Q5" s="81"/>
      <c r="R5" s="81"/>
      <c r="S5" s="81"/>
      <c r="T5" s="81"/>
      <c r="U5" s="81"/>
      <c r="V5" s="81"/>
      <c r="W5" s="81"/>
      <c r="X5" s="81"/>
      <c r="Y5" s="81"/>
      <c r="Z5" s="81"/>
      <c r="AA5" s="81"/>
      <c r="AB5" s="81"/>
    </row>
    <row r="6" spans="1:28" s="15" customFormat="1" ht="30" customHeight="1" thickBot="1" x14ac:dyDescent="0.25">
      <c r="A6" s="82"/>
      <c r="B6" s="83" t="s">
        <v>54</v>
      </c>
      <c r="C6" s="84">
        <v>3.5</v>
      </c>
      <c r="D6" s="85">
        <v>5</v>
      </c>
      <c r="E6" s="86"/>
      <c r="F6" s="81"/>
      <c r="G6" s="81"/>
      <c r="H6" s="81"/>
      <c r="I6" s="81"/>
      <c r="J6" s="81"/>
      <c r="K6" s="81"/>
      <c r="L6" s="81"/>
      <c r="M6" s="81"/>
      <c r="N6" s="81"/>
      <c r="O6" s="81"/>
      <c r="P6" s="81"/>
      <c r="Q6" s="81"/>
      <c r="R6" s="81"/>
      <c r="S6" s="81"/>
      <c r="T6" s="81"/>
      <c r="U6" s="81"/>
      <c r="V6" s="81"/>
      <c r="W6" s="81"/>
      <c r="X6" s="81"/>
      <c r="Y6" s="81"/>
      <c r="Z6" s="81"/>
      <c r="AA6" s="81"/>
      <c r="AB6" s="81"/>
    </row>
    <row r="7" spans="1:28" s="15" customFormat="1" ht="30" customHeight="1" x14ac:dyDescent="0.2">
      <c r="A7" s="7"/>
      <c r="B7" s="71" t="s">
        <v>55</v>
      </c>
      <c r="C7" s="36">
        <v>3.5</v>
      </c>
      <c r="D7" s="51">
        <v>4.33</v>
      </c>
      <c r="E7" s="51"/>
      <c r="F7" s="81"/>
      <c r="G7" s="81"/>
      <c r="H7" s="81"/>
      <c r="I7" s="81"/>
      <c r="J7" s="81"/>
      <c r="K7" s="81"/>
      <c r="L7" s="81"/>
      <c r="M7" s="81"/>
      <c r="N7" s="81"/>
      <c r="O7" s="81"/>
      <c r="P7" s="81"/>
      <c r="Q7" s="81"/>
      <c r="R7" s="81"/>
      <c r="S7" s="81"/>
      <c r="T7" s="81"/>
      <c r="U7" s="81"/>
      <c r="V7" s="81"/>
      <c r="W7" s="81"/>
      <c r="X7" s="81"/>
      <c r="Y7" s="81"/>
      <c r="Z7" s="81"/>
      <c r="AA7" s="81"/>
      <c r="AB7" s="81"/>
    </row>
    <row r="8" spans="1:28" s="15" customFormat="1" ht="30" customHeight="1" x14ac:dyDescent="0.2">
      <c r="A8" s="7"/>
      <c r="B8" s="71" t="s">
        <v>56</v>
      </c>
      <c r="C8" s="36">
        <v>3.5</v>
      </c>
      <c r="D8" s="51">
        <v>4.33</v>
      </c>
      <c r="E8" s="51"/>
      <c r="F8" s="81"/>
      <c r="G8" s="81"/>
      <c r="H8" s="81"/>
      <c r="I8" s="81"/>
      <c r="J8" s="81"/>
      <c r="K8" s="81"/>
      <c r="L8" s="81"/>
      <c r="M8" s="81"/>
      <c r="N8" s="81"/>
      <c r="O8" s="81"/>
      <c r="P8" s="81"/>
      <c r="Q8" s="81"/>
      <c r="R8" s="81"/>
      <c r="S8" s="81"/>
      <c r="T8" s="81"/>
      <c r="U8" s="81"/>
      <c r="V8" s="81"/>
      <c r="W8" s="81"/>
      <c r="X8" s="81"/>
      <c r="Y8" s="81"/>
      <c r="Z8" s="81"/>
      <c r="AA8" s="81"/>
      <c r="AB8" s="81"/>
    </row>
    <row r="9" spans="1:28" s="15" customFormat="1" ht="30" customHeight="1" x14ac:dyDescent="0.2">
      <c r="A9" s="7"/>
      <c r="B9" s="71" t="s">
        <v>57</v>
      </c>
      <c r="C9" s="36">
        <v>3.5</v>
      </c>
      <c r="D9" s="51">
        <v>4</v>
      </c>
      <c r="E9" s="51"/>
      <c r="F9" s="81"/>
      <c r="G9" s="81"/>
      <c r="H9" s="81"/>
      <c r="I9" s="81"/>
      <c r="J9" s="81"/>
      <c r="K9" s="81"/>
      <c r="L9" s="81"/>
      <c r="M9" s="81"/>
      <c r="N9" s="81"/>
      <c r="O9" s="81"/>
      <c r="P9" s="81"/>
      <c r="Q9" s="81"/>
      <c r="R9" s="81"/>
      <c r="S9" s="81"/>
      <c r="T9" s="81"/>
      <c r="U9" s="81"/>
      <c r="V9" s="81"/>
      <c r="W9" s="81"/>
      <c r="X9" s="81"/>
      <c r="Y9" s="81"/>
      <c r="Z9" s="81"/>
      <c r="AA9" s="81"/>
      <c r="AB9" s="81"/>
    </row>
    <row r="10" spans="1:28" s="15" customFormat="1" ht="30" customHeight="1" thickBot="1" x14ac:dyDescent="0.25">
      <c r="A10" s="7"/>
      <c r="B10" s="71" t="s">
        <v>58</v>
      </c>
      <c r="C10" s="37">
        <v>3.5</v>
      </c>
      <c r="D10" s="87">
        <v>4.33</v>
      </c>
      <c r="E10" s="87"/>
      <c r="F10" s="81"/>
      <c r="G10" s="81"/>
      <c r="H10" s="81"/>
      <c r="I10" s="81"/>
      <c r="J10" s="81"/>
      <c r="K10" s="81"/>
      <c r="L10" s="81"/>
      <c r="M10" s="81"/>
      <c r="N10" s="81"/>
      <c r="O10" s="81"/>
      <c r="P10" s="81"/>
      <c r="Q10" s="81"/>
      <c r="R10" s="81"/>
      <c r="S10" s="81"/>
      <c r="T10" s="81"/>
      <c r="U10" s="81"/>
      <c r="V10" s="81"/>
      <c r="W10" s="81"/>
      <c r="X10" s="81"/>
      <c r="Y10" s="81"/>
      <c r="Z10" s="81"/>
      <c r="AA10" s="81"/>
      <c r="AB10" s="81"/>
    </row>
    <row r="11" spans="1:28" s="15" customFormat="1" ht="30" customHeight="1" thickBot="1" x14ac:dyDescent="0.25">
      <c r="A11" s="82"/>
      <c r="B11" s="83" t="s">
        <v>59</v>
      </c>
      <c r="C11" s="84">
        <v>3.5</v>
      </c>
      <c r="D11" s="85">
        <v>4</v>
      </c>
      <c r="E11" s="86"/>
      <c r="F11" s="81"/>
      <c r="G11" s="81"/>
      <c r="H11" s="81"/>
      <c r="I11" s="81"/>
      <c r="J11" s="81"/>
      <c r="K11" s="81"/>
      <c r="L11" s="81"/>
      <c r="M11" s="81"/>
      <c r="N11" s="81"/>
      <c r="O11" s="81"/>
      <c r="P11" s="81"/>
      <c r="Q11" s="81"/>
      <c r="R11" s="81"/>
      <c r="S11" s="81"/>
      <c r="T11" s="81"/>
      <c r="U11" s="81"/>
      <c r="V11" s="81"/>
      <c r="W11" s="81"/>
      <c r="X11" s="81"/>
      <c r="Y11" s="81"/>
      <c r="Z11" s="81"/>
      <c r="AA11" s="81"/>
      <c r="AB11" s="81"/>
    </row>
    <row r="12" spans="1:28" s="15" customFormat="1" ht="30" customHeight="1" thickBot="1" x14ac:dyDescent="0.35">
      <c r="A12" s="7"/>
      <c r="B12" s="71" t="s">
        <v>60</v>
      </c>
      <c r="C12" s="37">
        <v>3.5</v>
      </c>
      <c r="D12" s="53">
        <v>4.67</v>
      </c>
      <c r="E12" s="52"/>
      <c r="F12" s="9"/>
      <c r="G12" s="4">
        <f t="shared" si="0"/>
        <v>2</v>
      </c>
      <c r="T12" s="74"/>
      <c r="U12" s="74"/>
      <c r="AB12" s="79"/>
    </row>
    <row r="13" spans="1:28" s="15" customFormat="1" ht="30" customHeight="1" thickBot="1" x14ac:dyDescent="0.25">
      <c r="A13" s="6"/>
      <c r="B13" s="71" t="s">
        <v>61</v>
      </c>
      <c r="C13" s="88">
        <v>3.5</v>
      </c>
      <c r="D13" s="89">
        <v>4.33</v>
      </c>
      <c r="E13" s="90"/>
      <c r="F13" s="9"/>
      <c r="G13" s="4">
        <f t="shared" si="0"/>
        <v>2</v>
      </c>
    </row>
    <row r="14" spans="1:28" s="15" customFormat="1" ht="30" customHeight="1" thickBot="1" x14ac:dyDescent="0.25">
      <c r="A14" s="82"/>
      <c r="B14" s="83" t="s">
        <v>62</v>
      </c>
      <c r="C14" s="84">
        <v>3.5</v>
      </c>
      <c r="D14" s="91">
        <v>4</v>
      </c>
      <c r="E14" s="92"/>
      <c r="F14" s="9"/>
      <c r="G14" s="4">
        <f t="shared" si="0"/>
        <v>1.5</v>
      </c>
      <c r="X14" s="74"/>
    </row>
    <row r="15" spans="1:28" s="15" customFormat="1" ht="30" customHeight="1" thickBot="1" x14ac:dyDescent="0.25">
      <c r="A15" s="6"/>
      <c r="B15" s="71" t="s">
        <v>64</v>
      </c>
      <c r="C15" s="35"/>
      <c r="D15" s="53"/>
      <c r="E15" s="52"/>
      <c r="F15" s="9"/>
      <c r="G15" s="4"/>
      <c r="X15" s="74"/>
    </row>
    <row r="16" spans="1:28" s="15" customFormat="1" ht="78" customHeight="1" thickBot="1" x14ac:dyDescent="0.25">
      <c r="A16" s="6"/>
      <c r="B16" s="181" t="s">
        <v>66</v>
      </c>
      <c r="C16" s="181"/>
      <c r="D16" s="181"/>
      <c r="E16" s="181"/>
      <c r="F16" s="9"/>
      <c r="G16" s="4" t="e">
        <f t="shared" si="0"/>
        <v>#VALUE!</v>
      </c>
    </row>
    <row r="17" spans="1:24" s="15" customFormat="1" ht="30" customHeight="1" thickBot="1" x14ac:dyDescent="0.25">
      <c r="A17" s="7"/>
      <c r="B17" s="16" t="s">
        <v>20</v>
      </c>
      <c r="C17" s="17"/>
      <c r="D17" s="18"/>
      <c r="E17" s="18"/>
      <c r="F17" s="9"/>
      <c r="G17" s="4" t="e">
        <f t="shared" si="0"/>
        <v>#VALUE!</v>
      </c>
    </row>
    <row r="18" spans="1:24" s="15" customFormat="1" ht="30" customHeight="1" thickBot="1" x14ac:dyDescent="0.25">
      <c r="A18" s="7"/>
      <c r="B18" s="76" t="s">
        <v>2</v>
      </c>
      <c r="C18" s="33" t="s">
        <v>7</v>
      </c>
      <c r="D18" s="78">
        <v>46114</v>
      </c>
      <c r="E18" s="78">
        <v>46266</v>
      </c>
      <c r="F18" s="9"/>
      <c r="G18" s="4"/>
    </row>
    <row r="19" spans="1:24" s="15" customFormat="1" ht="30" customHeight="1" thickBot="1" x14ac:dyDescent="0.25">
      <c r="A19" s="82"/>
      <c r="B19" s="126" t="s">
        <v>54</v>
      </c>
      <c r="C19" s="97">
        <v>3.5</v>
      </c>
      <c r="D19" s="127">
        <v>4.8</v>
      </c>
      <c r="E19" s="128"/>
      <c r="F19" s="9"/>
      <c r="G19" s="4"/>
    </row>
    <row r="20" spans="1:24" s="15" customFormat="1" ht="30" customHeight="1" thickBot="1" x14ac:dyDescent="0.25">
      <c r="A20" s="7"/>
      <c r="B20" s="129" t="s">
        <v>55</v>
      </c>
      <c r="C20" s="130">
        <v>3.5</v>
      </c>
      <c r="D20" s="131">
        <v>4.3</v>
      </c>
      <c r="E20" s="131"/>
      <c r="F20" s="9"/>
      <c r="G20" s="4"/>
    </row>
    <row r="21" spans="1:24" s="15" customFormat="1" ht="30" customHeight="1" thickBot="1" x14ac:dyDescent="0.25">
      <c r="A21" s="7"/>
      <c r="B21" s="129" t="s">
        <v>56</v>
      </c>
      <c r="C21" s="130">
        <v>3.5</v>
      </c>
      <c r="D21" s="131">
        <v>5</v>
      </c>
      <c r="E21" s="131"/>
      <c r="F21" s="9"/>
      <c r="G21" s="4"/>
    </row>
    <row r="22" spans="1:24" s="15" customFormat="1" ht="30" customHeight="1" thickBot="1" x14ac:dyDescent="0.25">
      <c r="A22" s="7"/>
      <c r="B22" s="129" t="s">
        <v>57</v>
      </c>
      <c r="C22" s="130">
        <v>3.5</v>
      </c>
      <c r="D22" s="131">
        <v>4</v>
      </c>
      <c r="E22" s="131"/>
      <c r="F22" s="9"/>
      <c r="G22" s="4"/>
    </row>
    <row r="23" spans="1:24" s="15" customFormat="1" ht="30" customHeight="1" thickBot="1" x14ac:dyDescent="0.25">
      <c r="A23" s="7"/>
      <c r="B23" s="129" t="s">
        <v>58</v>
      </c>
      <c r="C23" s="39">
        <v>3.5</v>
      </c>
      <c r="D23" s="132">
        <v>4.5</v>
      </c>
      <c r="E23" s="132"/>
      <c r="F23" s="9"/>
      <c r="G23" s="4"/>
    </row>
    <row r="24" spans="1:24" s="15" customFormat="1" ht="30" customHeight="1" thickBot="1" x14ac:dyDescent="0.25">
      <c r="A24" s="82"/>
      <c r="B24" s="126" t="s">
        <v>59</v>
      </c>
      <c r="C24" s="97">
        <v>3.5</v>
      </c>
      <c r="D24" s="127">
        <v>3.5</v>
      </c>
      <c r="E24" s="128"/>
      <c r="F24" s="9"/>
      <c r="G24" s="4">
        <f t="shared" si="0"/>
        <v>1.1500000000000004</v>
      </c>
    </row>
    <row r="25" spans="1:24" s="15" customFormat="1" ht="30" customHeight="1" thickBot="1" x14ac:dyDescent="0.25">
      <c r="A25" s="7"/>
      <c r="B25" s="129" t="s">
        <v>60</v>
      </c>
      <c r="C25" s="39">
        <v>3.5</v>
      </c>
      <c r="D25" s="133">
        <v>4.9000000000000004</v>
      </c>
      <c r="E25" s="134"/>
      <c r="F25" s="9"/>
      <c r="G25" s="4">
        <f t="shared" si="0"/>
        <v>1.0999999999999996</v>
      </c>
      <c r="T25" s="74"/>
      <c r="U25" s="74"/>
    </row>
    <row r="26" spans="1:24" s="15" customFormat="1" ht="30" customHeight="1" thickBot="1" x14ac:dyDescent="0.25">
      <c r="A26" s="6"/>
      <c r="B26" s="129" t="s">
        <v>61</v>
      </c>
      <c r="C26" s="135">
        <v>3.5</v>
      </c>
      <c r="D26" s="136">
        <v>4.5</v>
      </c>
      <c r="E26" s="137"/>
      <c r="F26" s="9"/>
      <c r="G26" s="4">
        <f t="shared" si="0"/>
        <v>0.71499999999999986</v>
      </c>
    </row>
    <row r="27" spans="1:24" s="15" customFormat="1" ht="30" customHeight="1" thickBot="1" x14ac:dyDescent="0.25">
      <c r="A27" s="82"/>
      <c r="B27" s="126" t="s">
        <v>62</v>
      </c>
      <c r="C27" s="97">
        <v>3.5</v>
      </c>
      <c r="D27" s="138">
        <v>4.7</v>
      </c>
      <c r="E27" s="139"/>
      <c r="F27" s="9"/>
      <c r="G27" s="4">
        <f t="shared" si="0"/>
        <v>1.7249999999999996</v>
      </c>
      <c r="X27" s="74"/>
    </row>
    <row r="28" spans="1:24" s="15" customFormat="1" ht="29.25" customHeight="1" thickBot="1" x14ac:dyDescent="0.25">
      <c r="A28" s="6"/>
      <c r="B28" s="129" t="s">
        <v>64</v>
      </c>
      <c r="C28" s="140"/>
      <c r="D28" s="133"/>
      <c r="E28" s="134"/>
      <c r="F28" s="9"/>
      <c r="G28" s="4" t="str">
        <f t="shared" si="0"/>
        <v/>
      </c>
    </row>
    <row r="29" spans="1:24" s="15" customFormat="1" ht="200.1" customHeight="1" thickBot="1" x14ac:dyDescent="0.25">
      <c r="A29" s="6"/>
      <c r="B29" s="170" t="s">
        <v>67</v>
      </c>
      <c r="C29" s="170"/>
      <c r="D29" s="170"/>
      <c r="E29" s="170"/>
      <c r="F29" s="9"/>
      <c r="G29" s="4"/>
    </row>
    <row r="30" spans="1:24" s="15" customFormat="1" ht="30" customHeight="1" thickBot="1" x14ac:dyDescent="0.25">
      <c r="A30" s="6"/>
      <c r="B30" s="20" t="s">
        <v>18</v>
      </c>
      <c r="C30" s="21"/>
      <c r="D30" s="22"/>
      <c r="E30" s="22"/>
      <c r="F30" s="9"/>
      <c r="G30" s="4" t="str">
        <f t="shared" si="0"/>
        <v/>
      </c>
    </row>
    <row r="31" spans="1:24" s="15" customFormat="1" ht="30" customHeight="1" thickBot="1" x14ac:dyDescent="0.25">
      <c r="A31" s="6"/>
      <c r="B31" s="76" t="s">
        <v>2</v>
      </c>
      <c r="C31" s="33" t="s">
        <v>7</v>
      </c>
      <c r="D31" s="78" t="s">
        <v>63</v>
      </c>
      <c r="E31" s="78">
        <v>46266</v>
      </c>
      <c r="F31" s="9"/>
      <c r="G31" s="4"/>
    </row>
    <row r="32" spans="1:24" s="15" customFormat="1" ht="30" customHeight="1" thickBot="1" x14ac:dyDescent="0.25">
      <c r="A32" s="82"/>
      <c r="B32" s="141" t="s">
        <v>54</v>
      </c>
      <c r="C32" s="106">
        <v>3.5</v>
      </c>
      <c r="D32" s="142">
        <v>4.5</v>
      </c>
      <c r="E32" s="143"/>
      <c r="F32" s="9"/>
      <c r="G32" s="4"/>
    </row>
    <row r="33" spans="1:7" s="15" customFormat="1" ht="30" customHeight="1" thickBot="1" x14ac:dyDescent="0.25">
      <c r="A33" s="7"/>
      <c r="B33" s="144" t="s">
        <v>55</v>
      </c>
      <c r="C33" s="112">
        <v>3.5</v>
      </c>
      <c r="D33" s="145">
        <v>4.5</v>
      </c>
      <c r="E33" s="145"/>
      <c r="F33" s="9"/>
      <c r="G33" s="4"/>
    </row>
    <row r="34" spans="1:7" s="15" customFormat="1" ht="30" customHeight="1" thickBot="1" x14ac:dyDescent="0.25">
      <c r="A34" s="7"/>
      <c r="B34" s="144" t="s">
        <v>56</v>
      </c>
      <c r="C34" s="112">
        <v>3.5</v>
      </c>
      <c r="D34" s="145">
        <v>5</v>
      </c>
      <c r="E34" s="145"/>
      <c r="F34" s="9"/>
      <c r="G34" s="4"/>
    </row>
    <row r="35" spans="1:7" s="15" customFormat="1" ht="30" customHeight="1" thickBot="1" x14ac:dyDescent="0.25">
      <c r="A35" s="7"/>
      <c r="B35" s="144" t="s">
        <v>57</v>
      </c>
      <c r="C35" s="112">
        <v>3.5</v>
      </c>
      <c r="D35" s="145">
        <v>4.5</v>
      </c>
      <c r="E35" s="145"/>
      <c r="F35" s="9"/>
      <c r="G35" s="4"/>
    </row>
    <row r="36" spans="1:7" s="15" customFormat="1" ht="30" customHeight="1" thickBot="1" x14ac:dyDescent="0.25">
      <c r="A36" s="7"/>
      <c r="B36" s="144" t="s">
        <v>58</v>
      </c>
      <c r="C36" s="48">
        <v>3.5</v>
      </c>
      <c r="D36" s="146">
        <v>3.75</v>
      </c>
      <c r="E36" s="146"/>
      <c r="F36" s="9"/>
      <c r="G36" s="4"/>
    </row>
    <row r="37" spans="1:7" s="15" customFormat="1" ht="30" customHeight="1" thickBot="1" x14ac:dyDescent="0.25">
      <c r="A37" s="82"/>
      <c r="B37" s="141" t="s">
        <v>59</v>
      </c>
      <c r="C37" s="106">
        <v>3.5</v>
      </c>
      <c r="D37" s="142">
        <v>4.25</v>
      </c>
      <c r="E37" s="143"/>
      <c r="F37" s="9"/>
      <c r="G37" s="4" t="str">
        <f t="shared" si="0"/>
        <v/>
      </c>
    </row>
    <row r="38" spans="1:7" s="15" customFormat="1" ht="30" customHeight="1" thickBot="1" x14ac:dyDescent="0.25">
      <c r="A38" s="7"/>
      <c r="B38" s="144" t="s">
        <v>60</v>
      </c>
      <c r="C38" s="48">
        <v>3.5</v>
      </c>
      <c r="D38" s="147">
        <v>4.5</v>
      </c>
      <c r="E38" s="148"/>
      <c r="F38" s="9"/>
      <c r="G38" s="4" t="str">
        <f t="shared" si="0"/>
        <v/>
      </c>
    </row>
    <row r="39" spans="1:7" s="15" customFormat="1" ht="30" customHeight="1" thickBot="1" x14ac:dyDescent="0.25">
      <c r="A39" s="6"/>
      <c r="B39" s="144" t="s">
        <v>61</v>
      </c>
      <c r="C39" s="149">
        <v>3.5</v>
      </c>
      <c r="D39" s="150">
        <v>3.5</v>
      </c>
      <c r="E39" s="151"/>
      <c r="F39" s="9"/>
      <c r="G39" s="4" t="str">
        <f t="shared" si="0"/>
        <v/>
      </c>
    </row>
    <row r="40" spans="1:7" s="15" customFormat="1" ht="30" customHeight="1" thickBot="1" x14ac:dyDescent="0.25">
      <c r="A40" s="82"/>
      <c r="B40" s="141" t="s">
        <v>62</v>
      </c>
      <c r="C40" s="106">
        <v>3.5</v>
      </c>
      <c r="D40" s="152">
        <v>4.25</v>
      </c>
      <c r="E40" s="153"/>
      <c r="F40" s="9"/>
      <c r="G40" s="4" t="str">
        <f t="shared" si="0"/>
        <v/>
      </c>
    </row>
    <row r="41" spans="1:7" s="15" customFormat="1" ht="30" customHeight="1" thickBot="1" x14ac:dyDescent="0.25">
      <c r="A41" s="6"/>
      <c r="B41" s="144" t="s">
        <v>64</v>
      </c>
      <c r="C41" s="154"/>
      <c r="D41" s="147"/>
      <c r="E41" s="148"/>
      <c r="F41" s="9"/>
      <c r="G41" s="4" t="str">
        <f t="shared" si="0"/>
        <v/>
      </c>
    </row>
    <row r="42" spans="1:7" s="15" customFormat="1" ht="72.75" customHeight="1" thickBot="1" x14ac:dyDescent="0.25">
      <c r="A42" s="6"/>
      <c r="B42" s="170" t="s">
        <v>65</v>
      </c>
      <c r="C42" s="170"/>
      <c r="D42" s="170"/>
      <c r="E42" s="170"/>
      <c r="F42" s="9"/>
      <c r="G42" s="4"/>
    </row>
    <row r="43" spans="1:7" s="15" customFormat="1" ht="30" customHeight="1" thickBot="1" x14ac:dyDescent="0.25">
      <c r="A43" s="6"/>
      <c r="B43" s="24" t="s">
        <v>19</v>
      </c>
      <c r="C43" s="25"/>
      <c r="D43" s="26"/>
      <c r="E43" s="26"/>
      <c r="F43" s="9"/>
      <c r="G43" s="4" t="str">
        <f t="shared" si="0"/>
        <v/>
      </c>
    </row>
    <row r="44" spans="1:7" s="15" customFormat="1" ht="30" customHeight="1" thickBot="1" x14ac:dyDescent="0.25">
      <c r="A44" s="6"/>
      <c r="B44" s="77" t="s">
        <v>2</v>
      </c>
      <c r="C44" s="33" t="s">
        <v>7</v>
      </c>
      <c r="D44" s="78" t="s">
        <v>70</v>
      </c>
      <c r="E44" s="78">
        <v>46266</v>
      </c>
      <c r="F44" s="9"/>
      <c r="G44" s="4"/>
    </row>
    <row r="45" spans="1:7" s="15" customFormat="1" ht="30" customHeight="1" thickBot="1" x14ac:dyDescent="0.25">
      <c r="A45" s="82"/>
      <c r="B45" s="155" t="s">
        <v>54</v>
      </c>
      <c r="C45" s="117">
        <v>3.5</v>
      </c>
      <c r="D45" s="156">
        <v>4</v>
      </c>
      <c r="E45" s="157"/>
      <c r="F45" s="9"/>
      <c r="G45" s="4"/>
    </row>
    <row r="46" spans="1:7" s="15" customFormat="1" ht="30" customHeight="1" thickBot="1" x14ac:dyDescent="0.25">
      <c r="A46" s="7"/>
      <c r="B46" s="158" t="s">
        <v>55</v>
      </c>
      <c r="C46" s="123">
        <v>3.5</v>
      </c>
      <c r="D46" s="159">
        <v>3.75</v>
      </c>
      <c r="E46" s="159"/>
      <c r="F46" s="9"/>
      <c r="G46" s="4"/>
    </row>
    <row r="47" spans="1:7" s="15" customFormat="1" ht="30" customHeight="1" thickBot="1" x14ac:dyDescent="0.25">
      <c r="A47" s="7"/>
      <c r="B47" s="158" t="s">
        <v>56</v>
      </c>
      <c r="C47" s="123">
        <v>3.5</v>
      </c>
      <c r="D47" s="159">
        <v>4.25</v>
      </c>
      <c r="E47" s="159"/>
      <c r="F47" s="9"/>
      <c r="G47" s="4"/>
    </row>
    <row r="48" spans="1:7" s="15" customFormat="1" ht="30" customHeight="1" thickBot="1" x14ac:dyDescent="0.25">
      <c r="A48" s="7"/>
      <c r="B48" s="158" t="s">
        <v>57</v>
      </c>
      <c r="C48" s="123">
        <v>3.5</v>
      </c>
      <c r="D48" s="159">
        <v>2.5</v>
      </c>
      <c r="E48" s="159"/>
      <c r="F48" s="9"/>
      <c r="G48" s="4"/>
    </row>
    <row r="49" spans="1:7" s="15" customFormat="1" ht="30" customHeight="1" thickBot="1" x14ac:dyDescent="0.25">
      <c r="A49" s="7"/>
      <c r="B49" s="158" t="s">
        <v>58</v>
      </c>
      <c r="C49" s="45">
        <v>3.5</v>
      </c>
      <c r="D49" s="160">
        <v>2.75</v>
      </c>
      <c r="E49" s="160"/>
      <c r="F49" s="9"/>
      <c r="G49" s="4"/>
    </row>
    <row r="50" spans="1:7" s="15" customFormat="1" ht="30" customHeight="1" thickBot="1" x14ac:dyDescent="0.25">
      <c r="A50" s="82"/>
      <c r="B50" s="155" t="s">
        <v>59</v>
      </c>
      <c r="C50" s="117">
        <v>3.5</v>
      </c>
      <c r="D50" s="156">
        <v>2</v>
      </c>
      <c r="E50" s="157"/>
      <c r="F50" s="9"/>
      <c r="G50" s="4" t="str">
        <f t="shared" si="0"/>
        <v/>
      </c>
    </row>
    <row r="51" spans="1:7" s="15" customFormat="1" ht="30" customHeight="1" thickBot="1" x14ac:dyDescent="0.25">
      <c r="A51" s="7"/>
      <c r="B51" s="158" t="s">
        <v>60</v>
      </c>
      <c r="C51" s="45">
        <v>3.5</v>
      </c>
      <c r="D51" s="161">
        <v>3.75</v>
      </c>
      <c r="E51" s="162"/>
      <c r="F51" s="9"/>
      <c r="G51" s="4" t="str">
        <f t="shared" si="0"/>
        <v/>
      </c>
    </row>
    <row r="52" spans="1:7" s="15" customFormat="1" ht="30" customHeight="1" thickBot="1" x14ac:dyDescent="0.25">
      <c r="A52" s="6"/>
      <c r="B52" s="158" t="s">
        <v>61</v>
      </c>
      <c r="C52" s="163">
        <v>3.5</v>
      </c>
      <c r="D52" s="164">
        <v>2.5</v>
      </c>
      <c r="E52" s="165"/>
      <c r="F52" s="9"/>
      <c r="G52" s="4" t="str">
        <f t="shared" si="0"/>
        <v/>
      </c>
    </row>
    <row r="53" spans="1:7" s="15" customFormat="1" ht="30" customHeight="1" thickBot="1" x14ac:dyDescent="0.25">
      <c r="A53" s="82"/>
      <c r="B53" s="155" t="s">
        <v>62</v>
      </c>
      <c r="C53" s="117">
        <v>3.5</v>
      </c>
      <c r="D53" s="166">
        <v>3</v>
      </c>
      <c r="E53" s="167"/>
      <c r="F53" s="9"/>
      <c r="G53" s="4" t="str">
        <f t="shared" si="0"/>
        <v/>
      </c>
    </row>
    <row r="54" spans="1:7" s="15" customFormat="1" ht="30" customHeight="1" thickBot="1" x14ac:dyDescent="0.25">
      <c r="A54" s="6"/>
      <c r="B54" s="158" t="s">
        <v>64</v>
      </c>
      <c r="C54" s="168"/>
      <c r="D54" s="161"/>
      <c r="E54" s="162"/>
      <c r="F54" s="9"/>
      <c r="G54" s="4" t="str">
        <f t="shared" si="0"/>
        <v/>
      </c>
    </row>
    <row r="55" spans="1:7" s="15" customFormat="1" ht="30" customHeight="1" thickBot="1" x14ac:dyDescent="0.25">
      <c r="A55" s="6"/>
      <c r="B55" s="170" t="s">
        <v>22</v>
      </c>
      <c r="C55" s="170"/>
      <c r="D55" s="170"/>
      <c r="E55" s="170"/>
      <c r="F55" s="9"/>
      <c r="G55" s="4" t="str">
        <f t="shared" si="0"/>
        <v/>
      </c>
    </row>
    <row r="56" spans="1:7" s="15" customFormat="1" ht="30" customHeight="1" thickBot="1" x14ac:dyDescent="0.25">
      <c r="A56" s="6"/>
      <c r="B56" s="169" t="s">
        <v>68</v>
      </c>
      <c r="C56" s="169"/>
      <c r="D56" s="169"/>
      <c r="E56" s="169"/>
      <c r="F56" s="9"/>
      <c r="G56" s="4"/>
    </row>
    <row r="57" spans="1:7" s="15" customFormat="1" ht="30" customHeight="1" thickBot="1" x14ac:dyDescent="0.25">
      <c r="A57" s="6"/>
      <c r="B57" s="169" t="s">
        <v>69</v>
      </c>
      <c r="C57" s="169"/>
      <c r="D57" s="169"/>
      <c r="E57" s="169"/>
      <c r="F57" s="9"/>
      <c r="G57" s="4"/>
    </row>
    <row r="58" spans="1:7" s="15" customFormat="1" ht="30" customHeight="1" thickBot="1" x14ac:dyDescent="0.25">
      <c r="A58" s="7"/>
      <c r="B58" s="28" t="s">
        <v>0</v>
      </c>
      <c r="C58" s="29"/>
      <c r="D58" s="30"/>
      <c r="E58" s="30"/>
      <c r="F58" s="9"/>
      <c r="G58" s="5" t="str">
        <f t="shared" si="0"/>
        <v/>
      </c>
    </row>
    <row r="59" spans="1:7" ht="30" customHeight="1" x14ac:dyDescent="0.2">
      <c r="F59" s="3"/>
    </row>
  </sheetData>
  <mergeCells count="5">
    <mergeCell ref="C1:E3"/>
    <mergeCell ref="B16:E16"/>
    <mergeCell ref="B29:E29"/>
    <mergeCell ref="B42:E42"/>
    <mergeCell ref="B55:E55"/>
  </mergeCells>
  <conditionalFormatting sqref="B4:B5">
    <cfRule type="dataBar" priority="1">
      <dataBar>
        <cfvo type="num" val="0"/>
        <cfvo type="num" val="1"/>
        <color theme="0"/>
      </dataBar>
      <extLst>
        <ext xmlns:x14="http://schemas.microsoft.com/office/spreadsheetml/2009/9/main" uri="{B025F937-C7B1-47D3-B67F-A62EFF666E3E}">
          <x14:id>{2D348993-B45D-4227-8CFB-91FD567C9F04}</x14:id>
        </ext>
      </extLst>
    </cfRule>
  </conditionalFormatting>
  <conditionalFormatting sqref="C17:C18 C30:C31 C43:C44 C58 C4:C5">
    <cfRule type="dataBar" priority="8">
      <dataBar>
        <cfvo type="num" val="0"/>
        <cfvo type="num" val="1"/>
        <color theme="0"/>
      </dataBar>
      <extLst>
        <ext xmlns:x14="http://schemas.microsoft.com/office/spreadsheetml/2009/9/main" uri="{B025F937-C7B1-47D3-B67F-A62EFF666E3E}">
          <x14:id>{E2C1E4E2-BE9A-4013-8338-D2DEC6A33858}</x14:id>
        </ext>
      </extLst>
    </cfRule>
  </conditionalFormatting>
  <conditionalFormatting sqref="H13:AI54 AC4:AI12 H12:AA12">
    <cfRule type="expression" dxfId="8" priority="11">
      <formula>AND(TODAY()&gt;=#REF!, TODAY()&lt;#REF!)</formula>
    </cfRule>
  </conditionalFormatting>
  <conditionalFormatting sqref="H24:AI29">
    <cfRule type="expression" dxfId="7" priority="4">
      <formula>AND(task_start&lt;=#REF!,ROUNDDOWN((task_end-task_start+1)*task_progress,0)+task_start-1&gt;=#REF!)</formula>
    </cfRule>
    <cfRule type="expression" dxfId="6" priority="5" stopIfTrue="1">
      <formula>AND(task_end&gt;=#REF!,task_start&lt;#REF!)</formula>
    </cfRule>
  </conditionalFormatting>
  <conditionalFormatting sqref="H37:AI42">
    <cfRule type="expression" dxfId="5" priority="2">
      <formula>AND(task_start&lt;=#REF!,ROUNDDOWN((task_end-task_start+1)*task_progress,0)+task_start-1&gt;=#REF!)</formula>
    </cfRule>
    <cfRule type="expression" dxfId="4" priority="3" stopIfTrue="1">
      <formula>AND(task_end&gt;=#REF!,task_start&lt;#REF!)</formula>
    </cfRule>
  </conditionalFormatting>
  <conditionalFormatting sqref="H50:AI54">
    <cfRule type="expression" dxfId="3" priority="9">
      <formula>AND(task_start&lt;=#REF!,ROUNDDOWN((task_end-task_start+1)*task_progress,0)+task_start-1&gt;=#REF!)</formula>
    </cfRule>
    <cfRule type="expression" dxfId="2" priority="10" stopIfTrue="1">
      <formula>AND(task_end&gt;=#REF!,task_start&lt;#REF!)</formula>
    </cfRule>
  </conditionalFormatting>
  <conditionalFormatting sqref="AC11:AI12 H12:AA12 H13:AI16">
    <cfRule type="expression" dxfId="1" priority="6">
      <formula>AND(task_start&lt;=#REF!,ROUNDDOWN((task_end-task_start+1)*task_progress,0)+task_start-1&gt;=#REF!)</formula>
    </cfRule>
    <cfRule type="expression" dxfId="0" priority="7" stopIfTrue="1">
      <formula>AND(task_end&gt;=#REF!,task_start&lt;#REF!)</formula>
    </cfRule>
  </conditionalFormatting>
  <dataValidations count="9">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A2" xr:uid="{1DF8D34B-34DD-46EE-A32B-F0064676D42F}"/>
    <dataValidation allowBlank="1" showInputMessage="1" showErrorMessage="1" prompt="Enter Company name in cel B2." sqref="A3" xr:uid="{DE20BDD8-CB41-422E-8CFE-4B5B4C4A7BFC}"/>
    <dataValidation allowBlank="1" showInputMessage="1" showErrorMessage="1" prompt="Cell B8 contains the Phase 1 sample title. Enter a new title in cell B8._x000a_To delete the phase and work only from tasks, simply delete this row." sqref="A4:A10 A19:A23 A32:A36 A45:A49" xr:uid="{EF1B0BEB-DED0-45BE-9142-AC2E1534A31A}"/>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11 A24 A37 A50" xr:uid="{A9C329CA-4BAA-437E-AF4A-A5571D86486A}"/>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2 A25 A38 A51" xr:uid="{DE80F7D0-471D-4C07-BD73-263837320CEE}"/>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7:A18" xr:uid="{9833CE61-36D5-4331-A8F4-1076C36AAB4A}"/>
    <dataValidation allowBlank="1" showInputMessage="1" showErrorMessage="1" prompt="Phase 3's sample block starts in cell B20." sqref="A30:A31" xr:uid="{73DF4F86-E452-4C2A-A582-9E1F5E3841BA}"/>
    <dataValidation allowBlank="1" showInputMessage="1" showErrorMessage="1" prompt="Phase 4's sample block starts in cell B26." sqref="A43:A44" xr:uid="{1CD6B67B-A067-47C0-BC7C-F6BFE681F464}"/>
    <dataValidation allowBlank="1" showInputMessage="1" showErrorMessage="1" prompt="This row marks the end of the Project Schedule. DO NOT enter anything in this row. _x000a_Insert new rows ABOVE this one to continue building out your Project Schedule." sqref="A58" xr:uid="{29A11370-0DE3-403E-9005-FC0B84348FAC}"/>
  </dataValidations>
  <pageMargins left="0.7" right="0.7" top="0.75" bottom="0.75" header="0.3" footer="0.3"/>
  <pageSetup orientation="landscape" r:id="rId1"/>
  <drawing r:id="rId2"/>
  <extLst>
    <ext xmlns:x14="http://schemas.microsoft.com/office/spreadsheetml/2009/9/main" uri="{78C0D931-6437-407d-A8EE-F0AAD7539E65}">
      <x14:conditionalFormattings>
        <x14:conditionalFormatting xmlns:xm="http://schemas.microsoft.com/office/excel/2006/main">
          <x14:cfRule type="dataBar" id="{2D348993-B45D-4227-8CFB-91FD567C9F04}">
            <x14:dataBar minLength="0" maxLength="100" gradient="0">
              <x14:cfvo type="num">
                <xm:f>0</xm:f>
              </x14:cfvo>
              <x14:cfvo type="num">
                <xm:f>1</xm:f>
              </x14:cfvo>
              <x14:negativeFillColor rgb="FFFF0000"/>
              <x14:axisColor rgb="FF000000"/>
            </x14:dataBar>
          </x14:cfRule>
          <xm:sqref>B4:B5</xm:sqref>
        </x14:conditionalFormatting>
        <x14:conditionalFormatting xmlns:xm="http://schemas.microsoft.com/office/excel/2006/main">
          <x14:cfRule type="dataBar" id="{E2C1E4E2-BE9A-4013-8338-D2DEC6A33858}">
            <x14:dataBar minLength="0" maxLength="100" gradient="0">
              <x14:cfvo type="num">
                <xm:f>0</xm:f>
              </x14:cfvo>
              <x14:cfvo type="num">
                <xm:f>1</xm:f>
              </x14:cfvo>
              <x14:negativeFillColor rgb="FFFF0000"/>
              <x14:axisColor rgb="FF000000"/>
            </x14:dataBar>
          </x14:cfRule>
          <xm:sqref>C17:C18 C30:C31 C43:C44 C58 C4:C5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FY24 AES Quarterly Survey</vt:lpstr>
      <vt:lpstr>FY25 AES bi-annual</vt:lpstr>
      <vt:lpstr>LENS FY 26 biannual</vt:lpstr>
      <vt:lpstr>Display_Week</vt:lpstr>
      <vt:lpstr>'FY24 AES Quarterly Survey'!Print_Titles</vt:lpstr>
      <vt:lpstr>Project_Start</vt:lpstr>
      <vt:lpstr>'FY24 AES Quarterly Survey'!task_end</vt:lpstr>
      <vt:lpstr>'FY25 AES bi-annual'!task_end</vt:lpstr>
      <vt:lpstr>'LENS FY 26 biannual'!task_end</vt:lpstr>
      <vt:lpstr>'FY24 AES Quarterly Survey'!task_progress</vt:lpstr>
      <vt:lpstr>'FY25 AES bi-annual'!task_progress</vt:lpstr>
      <vt:lpstr>'LENS FY 26 biannual'!task_progress</vt:lpstr>
      <vt:lpstr>'FY24 AES Quarterly Survey'!task_start</vt:lpstr>
      <vt:lpstr>'FY25 AES bi-annual'!task_start</vt:lpstr>
      <vt:lpstr>'LENS FY 26 biannual'!task_start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Jackson, Anna L (Portland)</dc:creator>
  <dc:description/>
  <cp:lastModifiedBy>Duenas, Claudia O.</cp:lastModifiedBy>
  <cp:lastPrinted>2025-05-05T23:06:11Z</cp:lastPrinted>
  <dcterms:created xsi:type="dcterms:W3CDTF">2022-03-11T22:41:12Z</dcterms:created>
  <dcterms:modified xsi:type="dcterms:W3CDTF">2026-04-20T22:10:27Z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