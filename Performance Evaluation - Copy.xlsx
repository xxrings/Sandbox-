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vagov-my.sharepoint.com/personal/timothy_ferguson_va_gov/Documents/Desktop/Projects/Performance Eval/"/>
    </mc:Choice>
  </mc:AlternateContent>
  <xr:revisionPtr revIDLastSave="4989" documentId="8_{C0C01259-78C9-495A-972A-4C6D84079F73}" xr6:coauthVersionLast="47" xr6:coauthVersionMax="47" xr10:uidLastSave="{54D94E6C-1A51-41F5-BADC-501B059546FD}"/>
  <bookViews>
    <workbookView xWindow="-110" yWindow="-110" windowWidth="19420" windowHeight="10300" firstSheet="2" activeTab="3" xr2:uid="{EBBD1370-B480-4005-92DF-CEA9341EE804}"/>
  </bookViews>
  <sheets>
    <sheet name="VA Strategic Goals " sheetId="20" state="hidden" r:id="rId1"/>
    <sheet name="i Care Values" sheetId="21" state="hidden" r:id="rId2"/>
    <sheet name="SetUp" sheetId="2" r:id="rId3"/>
    <sheet name="Elements and Standards" sheetId="22" r:id="rId4"/>
    <sheet name="1" sheetId="24" r:id="rId5"/>
    <sheet name="2" sheetId="23" r:id="rId6"/>
    <sheet name="3" sheetId="11" r:id="rId7"/>
    <sheet name="4" sheetId="19" r:id="rId8"/>
    <sheet name="5" sheetId="7" r:id="rId9"/>
    <sheet name="6" sheetId="6" r:id="rId10"/>
    <sheet name="Template" sheetId="1" state="hidden" r:id="rId11"/>
    <sheet name="Template (2)" sheetId="15" state="hidden" r:id="rId12"/>
    <sheet name="OT Calc" sheetId="18" state="hidden" r:id="rId13"/>
    <sheet name="CT Calc" sheetId="17" state="hidden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24" l="1"/>
  <c r="C6" i="24"/>
  <c r="F4" i="24"/>
  <c r="E4" i="24"/>
  <c r="L15" i="24"/>
  <c r="M15" i="24"/>
  <c r="N15" i="24"/>
  <c r="O15" i="24"/>
  <c r="P15" i="24"/>
  <c r="Q15" i="24"/>
  <c r="R15" i="24"/>
  <c r="S15" i="24"/>
  <c r="T15" i="24"/>
  <c r="S16" i="24"/>
  <c r="F3" i="24" s="1"/>
  <c r="K34" i="24"/>
  <c r="C5" i="24" s="1"/>
  <c r="L34" i="24"/>
  <c r="M34" i="24"/>
  <c r="C7" i="24" s="1"/>
  <c r="N34" i="24"/>
  <c r="D6" i="24" s="1"/>
  <c r="O34" i="24"/>
  <c r="D7" i="24" s="1"/>
  <c r="P34" i="24"/>
  <c r="E5" i="24" s="1"/>
  <c r="Q34" i="24"/>
  <c r="R34" i="24"/>
  <c r="S34" i="24"/>
  <c r="F5" i="24" s="1"/>
  <c r="T34" i="24"/>
  <c r="F6" i="24" s="1"/>
  <c r="U34" i="24"/>
  <c r="F7" i="24" s="1"/>
  <c r="C46" i="24"/>
  <c r="D46" i="24"/>
  <c r="E46" i="24"/>
  <c r="F46" i="24"/>
  <c r="G46" i="24"/>
  <c r="H46" i="24"/>
  <c r="F7" i="23"/>
  <c r="F6" i="23"/>
  <c r="C6" i="23"/>
  <c r="F3" i="23"/>
  <c r="L15" i="23"/>
  <c r="M15" i="23"/>
  <c r="N15" i="23"/>
  <c r="O15" i="23"/>
  <c r="P15" i="23"/>
  <c r="Q15" i="23"/>
  <c r="N16" i="23" s="1"/>
  <c r="D3" i="23" s="1"/>
  <c r="R15" i="23"/>
  <c r="E4" i="23" s="1"/>
  <c r="S15" i="23"/>
  <c r="S16" i="23" s="1"/>
  <c r="T15" i="23"/>
  <c r="K34" i="23"/>
  <c r="C5" i="23" s="1"/>
  <c r="L34" i="23"/>
  <c r="M34" i="23"/>
  <c r="C7" i="23" s="1"/>
  <c r="N34" i="23"/>
  <c r="D6" i="23" s="1"/>
  <c r="O34" i="23"/>
  <c r="D7" i="23" s="1"/>
  <c r="P34" i="23"/>
  <c r="E5" i="23" s="1"/>
  <c r="Q34" i="23"/>
  <c r="E6" i="23" s="1"/>
  <c r="R34" i="23"/>
  <c r="F4" i="23" s="1"/>
  <c r="S34" i="23"/>
  <c r="F5" i="23" s="1"/>
  <c r="T34" i="23"/>
  <c r="U34" i="23"/>
  <c r="C46" i="23"/>
  <c r="D46" i="23"/>
  <c r="E46" i="23"/>
  <c r="F46" i="23"/>
  <c r="G46" i="23"/>
  <c r="H46" i="23"/>
  <c r="L15" i="19"/>
  <c r="M15" i="19"/>
  <c r="N15" i="19"/>
  <c r="O15" i="19"/>
  <c r="P15" i="19"/>
  <c r="Q15" i="19"/>
  <c r="R15" i="19"/>
  <c r="E4" i="19" s="1"/>
  <c r="S15" i="19"/>
  <c r="S16" i="19" s="1"/>
  <c r="F3" i="19" s="1"/>
  <c r="T15" i="19"/>
  <c r="K34" i="19"/>
  <c r="C5" i="19" s="1"/>
  <c r="L34" i="19"/>
  <c r="C6" i="19" s="1"/>
  <c r="M34" i="19"/>
  <c r="C7" i="19" s="1"/>
  <c r="N34" i="19"/>
  <c r="D6" i="19" s="1"/>
  <c r="O34" i="19"/>
  <c r="D7" i="19" s="1"/>
  <c r="P34" i="19"/>
  <c r="E5" i="19" s="1"/>
  <c r="Q34" i="19"/>
  <c r="E6" i="19" s="1"/>
  <c r="R34" i="19"/>
  <c r="F4" i="19" s="1"/>
  <c r="S34" i="19"/>
  <c r="F5" i="19" s="1"/>
  <c r="T34" i="19"/>
  <c r="F6" i="19" s="1"/>
  <c r="U34" i="19"/>
  <c r="F7" i="19" s="1"/>
  <c r="C46" i="19"/>
  <c r="D46" i="19"/>
  <c r="E46" i="19"/>
  <c r="F46" i="19"/>
  <c r="G46" i="19"/>
  <c r="H46" i="19"/>
  <c r="P16" i="19" l="1"/>
  <c r="D5" i="19" s="1"/>
  <c r="O16" i="19"/>
  <c r="D4" i="19" s="1"/>
  <c r="N16" i="19"/>
  <c r="D3" i="19" s="1"/>
  <c r="M16" i="19"/>
  <c r="C4" i="19" s="1"/>
  <c r="L16" i="19"/>
  <c r="C3" i="19" s="1"/>
  <c r="K42" i="19" s="1"/>
  <c r="C8" i="19" s="1"/>
  <c r="P16" i="23"/>
  <c r="D5" i="23" s="1"/>
  <c r="L42" i="23" s="1"/>
  <c r="D8" i="23" s="1"/>
  <c r="O16" i="23"/>
  <c r="D4" i="23" s="1"/>
  <c r="M16" i="23"/>
  <c r="C4" i="23" s="1"/>
  <c r="L16" i="23"/>
  <c r="C3" i="23" s="1"/>
  <c r="N16" i="24"/>
  <c r="D3" i="24" s="1"/>
  <c r="L16" i="24"/>
  <c r="C3" i="24" s="1"/>
  <c r="P16" i="24"/>
  <c r="D5" i="24" s="1"/>
  <c r="O16" i="24"/>
  <c r="D4" i="24" s="1"/>
  <c r="M16" i="24"/>
  <c r="C4" i="24" s="1"/>
  <c r="C47" i="24"/>
  <c r="F47" i="24"/>
  <c r="Q16" i="24" s="1"/>
  <c r="E3" i="24" s="1"/>
  <c r="M42" i="24" s="1"/>
  <c r="E8" i="24" s="1"/>
  <c r="C47" i="23"/>
  <c r="C47" i="19"/>
  <c r="F47" i="19"/>
  <c r="Q16" i="19" s="1"/>
  <c r="E3" i="19" s="1"/>
  <c r="M42" i="19" s="1"/>
  <c r="E8" i="19" s="1"/>
  <c r="N42" i="24"/>
  <c r="F8" i="24" s="1"/>
  <c r="N42" i="23"/>
  <c r="F8" i="23" s="1"/>
  <c r="F47" i="23"/>
  <c r="Q16" i="23" s="1"/>
  <c r="N42" i="19"/>
  <c r="F8" i="19" s="1"/>
  <c r="F6" i="18"/>
  <c r="F5" i="18"/>
  <c r="F4" i="18"/>
  <c r="F3" i="18"/>
  <c r="F2" i="18"/>
  <c r="E6" i="18"/>
  <c r="E5" i="18"/>
  <c r="E4" i="18"/>
  <c r="E3" i="18"/>
  <c r="E2" i="18"/>
  <c r="D6" i="18"/>
  <c r="D5" i="18"/>
  <c r="D4" i="18"/>
  <c r="D3" i="18"/>
  <c r="D2" i="18"/>
  <c r="C6" i="18"/>
  <c r="C5" i="18"/>
  <c r="C4" i="18"/>
  <c r="C3" i="18"/>
  <c r="C2" i="18"/>
  <c r="B6" i="18"/>
  <c r="B5" i="18"/>
  <c r="B4" i="18"/>
  <c r="B3" i="18"/>
  <c r="B2" i="18"/>
  <c r="G7" i="18"/>
  <c r="G8" i="18"/>
  <c r="G9" i="18"/>
  <c r="G10" i="18"/>
  <c r="G11" i="18"/>
  <c r="G12" i="18"/>
  <c r="G13" i="18"/>
  <c r="G13" i="17"/>
  <c r="G12" i="17"/>
  <c r="G11" i="17"/>
  <c r="G10" i="17"/>
  <c r="G9" i="17"/>
  <c r="G8" i="17"/>
  <c r="G7" i="17"/>
  <c r="G6" i="17"/>
  <c r="G5" i="17"/>
  <c r="G4" i="17"/>
  <c r="G3" i="17"/>
  <c r="G2" i="17"/>
  <c r="F47" i="15"/>
  <c r="H46" i="15"/>
  <c r="G46" i="15"/>
  <c r="F46" i="15"/>
  <c r="E46" i="15"/>
  <c r="D46" i="15"/>
  <c r="C46" i="15"/>
  <c r="C47" i="15" s="1"/>
  <c r="U34" i="15"/>
  <c r="T34" i="15"/>
  <c r="S34" i="15"/>
  <c r="R34" i="15"/>
  <c r="F4" i="15" s="1"/>
  <c r="Q34" i="15"/>
  <c r="P34" i="15"/>
  <c r="E5" i="15" s="1"/>
  <c r="O34" i="15"/>
  <c r="D7" i="15" s="1"/>
  <c r="N34" i="15"/>
  <c r="M34" i="15"/>
  <c r="C7" i="15" s="1"/>
  <c r="L34" i="15"/>
  <c r="C6" i="15" s="1"/>
  <c r="K34" i="15"/>
  <c r="T15" i="15"/>
  <c r="S15" i="15"/>
  <c r="S16" i="15" s="1"/>
  <c r="F3" i="15" s="1"/>
  <c r="R15" i="15"/>
  <c r="E4" i="15" s="1"/>
  <c r="Q15" i="15"/>
  <c r="Q16" i="15" s="1"/>
  <c r="E3" i="15" s="1"/>
  <c r="M42" i="15" s="1"/>
  <c r="P15" i="15"/>
  <c r="P16" i="15" s="1"/>
  <c r="D5" i="15" s="1"/>
  <c r="O15" i="15"/>
  <c r="O16" i="15" s="1"/>
  <c r="D4" i="15" s="1"/>
  <c r="N15" i="15"/>
  <c r="N16" i="15" s="1"/>
  <c r="D3" i="15" s="1"/>
  <c r="L42" i="15" s="1"/>
  <c r="M15" i="15"/>
  <c r="M16" i="15" s="1"/>
  <c r="C4" i="15" s="1"/>
  <c r="L15" i="15"/>
  <c r="F7" i="15"/>
  <c r="F6" i="15"/>
  <c r="E6" i="15"/>
  <c r="D6" i="15"/>
  <c r="F5" i="15"/>
  <c r="C5" i="15"/>
  <c r="H46" i="11"/>
  <c r="G46" i="11"/>
  <c r="F46" i="11"/>
  <c r="E46" i="11"/>
  <c r="D46" i="11"/>
  <c r="C46" i="11"/>
  <c r="U34" i="11"/>
  <c r="F7" i="11" s="1"/>
  <c r="T34" i="11"/>
  <c r="F6" i="11" s="1"/>
  <c r="S34" i="11"/>
  <c r="F5" i="11" s="1"/>
  <c r="R34" i="11"/>
  <c r="F4" i="11" s="1"/>
  <c r="Q34" i="11"/>
  <c r="E6" i="11" s="1"/>
  <c r="P34" i="11"/>
  <c r="E5" i="11" s="1"/>
  <c r="O34" i="11"/>
  <c r="D7" i="11" s="1"/>
  <c r="N34" i="11"/>
  <c r="D6" i="11" s="1"/>
  <c r="M34" i="11"/>
  <c r="C7" i="11" s="1"/>
  <c r="L34" i="11"/>
  <c r="C6" i="11" s="1"/>
  <c r="K34" i="11"/>
  <c r="C5" i="11" s="1"/>
  <c r="T15" i="11"/>
  <c r="S15" i="11"/>
  <c r="R15" i="11"/>
  <c r="E4" i="11" s="1"/>
  <c r="Q15" i="11"/>
  <c r="P15" i="11"/>
  <c r="O15" i="11"/>
  <c r="N15" i="11"/>
  <c r="M15" i="11"/>
  <c r="L15" i="11"/>
  <c r="H46" i="7"/>
  <c r="G46" i="7"/>
  <c r="F46" i="7"/>
  <c r="E46" i="7"/>
  <c r="D46" i="7"/>
  <c r="C46" i="7"/>
  <c r="U34" i="7"/>
  <c r="F7" i="7" s="1"/>
  <c r="T34" i="7"/>
  <c r="F6" i="7" s="1"/>
  <c r="S34" i="7"/>
  <c r="F5" i="7" s="1"/>
  <c r="R34" i="7"/>
  <c r="F4" i="7" s="1"/>
  <c r="Q34" i="7"/>
  <c r="E6" i="7" s="1"/>
  <c r="P34" i="7"/>
  <c r="E5" i="7" s="1"/>
  <c r="O34" i="7"/>
  <c r="D7" i="7" s="1"/>
  <c r="N34" i="7"/>
  <c r="D6" i="7" s="1"/>
  <c r="M34" i="7"/>
  <c r="C7" i="7" s="1"/>
  <c r="L34" i="7"/>
  <c r="C6" i="7" s="1"/>
  <c r="K34" i="7"/>
  <c r="C5" i="7" s="1"/>
  <c r="T15" i="7"/>
  <c r="S15" i="7"/>
  <c r="R15" i="7"/>
  <c r="E4" i="7" s="1"/>
  <c r="Q15" i="7"/>
  <c r="P15" i="7"/>
  <c r="O15" i="7"/>
  <c r="N15" i="7"/>
  <c r="M15" i="7"/>
  <c r="L15" i="7"/>
  <c r="H46" i="6"/>
  <c r="G46" i="6"/>
  <c r="F46" i="6"/>
  <c r="E46" i="6"/>
  <c r="D46" i="6"/>
  <c r="C46" i="6"/>
  <c r="U34" i="6"/>
  <c r="F7" i="6" s="1"/>
  <c r="T34" i="6"/>
  <c r="F6" i="6" s="1"/>
  <c r="S34" i="6"/>
  <c r="F5" i="6" s="1"/>
  <c r="R34" i="6"/>
  <c r="F4" i="6" s="1"/>
  <c r="Q34" i="6"/>
  <c r="P34" i="6"/>
  <c r="E5" i="6" s="1"/>
  <c r="O34" i="6"/>
  <c r="D7" i="6" s="1"/>
  <c r="N34" i="6"/>
  <c r="D6" i="6" s="1"/>
  <c r="M34" i="6"/>
  <c r="C7" i="6" s="1"/>
  <c r="L34" i="6"/>
  <c r="C6" i="6" s="1"/>
  <c r="K34" i="6"/>
  <c r="C5" i="6" s="1"/>
  <c r="T15" i="6"/>
  <c r="S15" i="6"/>
  <c r="R15" i="6"/>
  <c r="E4" i="6" s="1"/>
  <c r="Q15" i="6"/>
  <c r="P15" i="6"/>
  <c r="O15" i="6"/>
  <c r="N15" i="6"/>
  <c r="M15" i="6"/>
  <c r="L15" i="6"/>
  <c r="E6" i="6"/>
  <c r="U34" i="1"/>
  <c r="F7" i="1" s="1"/>
  <c r="T34" i="1"/>
  <c r="F6" i="1" s="1"/>
  <c r="S34" i="1"/>
  <c r="F5" i="1" s="1"/>
  <c r="R34" i="1"/>
  <c r="F4" i="1" s="1"/>
  <c r="Q34" i="1"/>
  <c r="E6" i="1" s="1"/>
  <c r="P34" i="1"/>
  <c r="E5" i="1" s="1"/>
  <c r="O34" i="1"/>
  <c r="D7" i="1" s="1"/>
  <c r="N34" i="1"/>
  <c r="D6" i="1" s="1"/>
  <c r="M34" i="1"/>
  <c r="C7" i="1" s="1"/>
  <c r="L34" i="1"/>
  <c r="C6" i="1" s="1"/>
  <c r="K34" i="1"/>
  <c r="C5" i="1" s="1"/>
  <c r="T15" i="1"/>
  <c r="S15" i="1"/>
  <c r="R15" i="1"/>
  <c r="E4" i="1" s="1"/>
  <c r="Q15" i="1"/>
  <c r="P15" i="1"/>
  <c r="O15" i="1"/>
  <c r="N15" i="1"/>
  <c r="M15" i="1"/>
  <c r="L15" i="1"/>
  <c r="G46" i="1"/>
  <c r="H46" i="1"/>
  <c r="F46" i="1"/>
  <c r="E46" i="1"/>
  <c r="D46" i="1"/>
  <c r="C46" i="1"/>
  <c r="L42" i="19" l="1"/>
  <c r="D8" i="19" s="1"/>
  <c r="K42" i="23"/>
  <c r="C8" i="23" s="1"/>
  <c r="K42" i="24"/>
  <c r="C8" i="24" s="1"/>
  <c r="L42" i="24"/>
  <c r="D8" i="24" s="1"/>
  <c r="L43" i="24"/>
  <c r="E3" i="23"/>
  <c r="M42" i="23" s="1"/>
  <c r="K43" i="19"/>
  <c r="N43" i="19"/>
  <c r="M44" i="19" s="1"/>
  <c r="M43" i="19"/>
  <c r="N43" i="24"/>
  <c r="M44" i="24" s="1"/>
  <c r="M43" i="24"/>
  <c r="N43" i="23"/>
  <c r="M44" i="23" s="1"/>
  <c r="L43" i="23"/>
  <c r="M16" i="11"/>
  <c r="C4" i="11" s="1"/>
  <c r="L16" i="11"/>
  <c r="C3" i="11" s="1"/>
  <c r="F47" i="11"/>
  <c r="Q16" i="11" s="1"/>
  <c r="E3" i="11" s="1"/>
  <c r="M42" i="11" s="1"/>
  <c r="E8" i="11" s="1"/>
  <c r="S16" i="11"/>
  <c r="F3" i="11" s="1"/>
  <c r="N42" i="11" s="1"/>
  <c r="N16" i="11"/>
  <c r="D3" i="11" s="1"/>
  <c r="O16" i="11"/>
  <c r="D4" i="11" s="1"/>
  <c r="P16" i="11"/>
  <c r="D5" i="11" s="1"/>
  <c r="C47" i="11"/>
  <c r="N16" i="6"/>
  <c r="D3" i="6" s="1"/>
  <c r="O16" i="6"/>
  <c r="D4" i="6" s="1"/>
  <c r="G6" i="18"/>
  <c r="F47" i="7"/>
  <c r="Q16" i="7" s="1"/>
  <c r="E3" i="7" s="1"/>
  <c r="M42" i="7" s="1"/>
  <c r="M43" i="7" s="1"/>
  <c r="F47" i="6"/>
  <c r="Q16" i="6" s="1"/>
  <c r="E3" i="6" s="1"/>
  <c r="M42" i="6" s="1"/>
  <c r="E8" i="6" s="1"/>
  <c r="C47" i="6"/>
  <c r="G4" i="18"/>
  <c r="G3" i="18"/>
  <c r="G5" i="18"/>
  <c r="G2" i="18"/>
  <c r="L43" i="15"/>
  <c r="D8" i="15"/>
  <c r="M43" i="15"/>
  <c r="E8" i="15"/>
  <c r="N42" i="15"/>
  <c r="L16" i="15"/>
  <c r="C3" i="15" s="1"/>
  <c r="K42" i="15" s="1"/>
  <c r="C47" i="1"/>
  <c r="F47" i="1"/>
  <c r="Q16" i="1" s="1"/>
  <c r="C47" i="7"/>
  <c r="N16" i="7"/>
  <c r="D3" i="7" s="1"/>
  <c r="M16" i="7"/>
  <c r="C4" i="7" s="1"/>
  <c r="O16" i="7"/>
  <c r="D4" i="7" s="1"/>
  <c r="P16" i="7"/>
  <c r="D5" i="7" s="1"/>
  <c r="S16" i="7"/>
  <c r="F3" i="7" s="1"/>
  <c r="N42" i="7" s="1"/>
  <c r="L16" i="7"/>
  <c r="C3" i="7" s="1"/>
  <c r="P16" i="6"/>
  <c r="D5" i="6" s="1"/>
  <c r="S16" i="6"/>
  <c r="F3" i="6" s="1"/>
  <c r="N42" i="6" s="1"/>
  <c r="L16" i="6"/>
  <c r="C3" i="6" s="1"/>
  <c r="M16" i="6"/>
  <c r="C4" i="6" s="1"/>
  <c r="S16" i="1"/>
  <c r="F3" i="1" s="1"/>
  <c r="N42" i="1" s="1"/>
  <c r="L16" i="1"/>
  <c r="C3" i="1" s="1"/>
  <c r="M16" i="1"/>
  <c r="C4" i="1" s="1"/>
  <c r="N16" i="1"/>
  <c r="D3" i="1" s="1"/>
  <c r="O16" i="1"/>
  <c r="D4" i="1" s="1"/>
  <c r="P16" i="1"/>
  <c r="D5" i="1" s="1"/>
  <c r="K43" i="24" l="1"/>
  <c r="L44" i="24" s="1"/>
  <c r="N44" i="24" s="1"/>
  <c r="C9" i="24" s="1"/>
  <c r="L43" i="19"/>
  <c r="K43" i="23"/>
  <c r="E8" i="23"/>
  <c r="M43" i="23"/>
  <c r="L44" i="19"/>
  <c r="N44" i="19" s="1"/>
  <c r="C9" i="19" s="1"/>
  <c r="K42" i="11"/>
  <c r="C8" i="11" s="1"/>
  <c r="L42" i="11"/>
  <c r="D8" i="11" s="1"/>
  <c r="M43" i="11"/>
  <c r="K42" i="7"/>
  <c r="C8" i="7" s="1"/>
  <c r="L42" i="6"/>
  <c r="L43" i="6" s="1"/>
  <c r="I3" i="18"/>
  <c r="K43" i="15"/>
  <c r="L44" i="15" s="1"/>
  <c r="N44" i="15" s="1"/>
  <c r="C9" i="15" s="1"/>
  <c r="C8" i="15"/>
  <c r="F8" i="15"/>
  <c r="N43" i="15"/>
  <c r="M44" i="15" s="1"/>
  <c r="N43" i="11"/>
  <c r="M44" i="11" s="1"/>
  <c r="F8" i="11"/>
  <c r="L42" i="7"/>
  <c r="L43" i="7" s="1"/>
  <c r="E8" i="7"/>
  <c r="F8" i="7"/>
  <c r="N43" i="7"/>
  <c r="M44" i="7" s="1"/>
  <c r="M43" i="6"/>
  <c r="K42" i="6"/>
  <c r="C8" i="6" s="1"/>
  <c r="F8" i="6"/>
  <c r="N43" i="6"/>
  <c r="M44" i="6" s="1"/>
  <c r="N43" i="1"/>
  <c r="M44" i="1" s="1"/>
  <c r="F8" i="1"/>
  <c r="E3" i="1"/>
  <c r="M42" i="1" s="1"/>
  <c r="L42" i="1"/>
  <c r="K42" i="1"/>
  <c r="L44" i="23" l="1"/>
  <c r="N44" i="23" s="1"/>
  <c r="C9" i="23" s="1"/>
  <c r="K43" i="11"/>
  <c r="L43" i="11"/>
  <c r="K43" i="7"/>
  <c r="L44" i="7" s="1"/>
  <c r="N44" i="7" s="1"/>
  <c r="C9" i="7" s="1"/>
  <c r="D8" i="6"/>
  <c r="D8" i="7"/>
  <c r="K43" i="6"/>
  <c r="L44" i="6" s="1"/>
  <c r="N44" i="6" s="1"/>
  <c r="C9" i="6" s="1"/>
  <c r="M43" i="1"/>
  <c r="E8" i="1"/>
  <c r="D8" i="1"/>
  <c r="L43" i="1"/>
  <c r="C8" i="1"/>
  <c r="K43" i="1"/>
  <c r="L44" i="11" l="1"/>
  <c r="N44" i="11" s="1"/>
  <c r="C9" i="11" s="1"/>
  <c r="L44" i="1"/>
  <c r="N44" i="1" s="1"/>
  <c r="C9" i="1" s="1"/>
</calcChain>
</file>

<file path=xl/sharedStrings.xml><?xml version="1.0" encoding="utf-8"?>
<sst xmlns="http://schemas.openxmlformats.org/spreadsheetml/2006/main" count="874" uniqueCount="224">
  <si>
    <t>Element 1</t>
  </si>
  <si>
    <t>Element 2</t>
  </si>
  <si>
    <t>Element 3</t>
  </si>
  <si>
    <t>Element 4</t>
  </si>
  <si>
    <t xml:space="preserve">Standard 1 </t>
  </si>
  <si>
    <t>Standard 2</t>
  </si>
  <si>
    <t>Standard 3</t>
  </si>
  <si>
    <t xml:space="preserve">Standard 4 </t>
  </si>
  <si>
    <t xml:space="preserve">Standard 5 </t>
  </si>
  <si>
    <t>Fully Successful</t>
  </si>
  <si>
    <t>Exceptional</t>
  </si>
  <si>
    <t>Key</t>
  </si>
  <si>
    <t>Standard Final</t>
  </si>
  <si>
    <t>Fulfilled</t>
  </si>
  <si>
    <t>Not Fulfilled</t>
  </si>
  <si>
    <t>Regular</t>
  </si>
  <si>
    <t>OT</t>
  </si>
  <si>
    <t>LA</t>
  </si>
  <si>
    <t>LS</t>
  </si>
  <si>
    <t>Holiday</t>
  </si>
  <si>
    <t xml:space="preserve">Other </t>
  </si>
  <si>
    <t>Month</t>
  </si>
  <si>
    <t>Pay Period</t>
  </si>
  <si>
    <t>Total</t>
  </si>
  <si>
    <t>%</t>
  </si>
  <si>
    <t>TMS Modules Assigned</t>
  </si>
  <si>
    <t>Grand Total</t>
  </si>
  <si>
    <t>Cell</t>
  </si>
  <si>
    <t>C3</t>
  </si>
  <si>
    <t>C5</t>
  </si>
  <si>
    <t>C6</t>
  </si>
  <si>
    <t xml:space="preserve"> Final</t>
  </si>
  <si>
    <t>C4</t>
  </si>
  <si>
    <t>D3</t>
  </si>
  <si>
    <t>D5</t>
  </si>
  <si>
    <t>D4</t>
  </si>
  <si>
    <t>E4</t>
  </si>
  <si>
    <t>E3</t>
  </si>
  <si>
    <t>E5</t>
  </si>
  <si>
    <t>E6</t>
  </si>
  <si>
    <t>Outstanding</t>
  </si>
  <si>
    <t>Unacceptable</t>
  </si>
  <si>
    <t>Minimally Successful</t>
  </si>
  <si>
    <t>Element 1*</t>
  </si>
  <si>
    <t>Element 2*</t>
  </si>
  <si>
    <t>Element 3*</t>
  </si>
  <si>
    <t>*</t>
  </si>
  <si>
    <t>Critical Element</t>
  </si>
  <si>
    <t>Standard 1</t>
  </si>
  <si>
    <t>Standard 4</t>
  </si>
  <si>
    <t>Standard 5</t>
  </si>
  <si>
    <t>Met</t>
  </si>
  <si>
    <t>Teir 1</t>
  </si>
  <si>
    <t>Teir 2</t>
  </si>
  <si>
    <t>Tier 1</t>
  </si>
  <si>
    <t>Tier 2</t>
  </si>
  <si>
    <t>Standards</t>
  </si>
  <si>
    <t>Calculations</t>
  </si>
  <si>
    <t>C7</t>
  </si>
  <si>
    <t>D6</t>
  </si>
  <si>
    <t>D7</t>
  </si>
  <si>
    <t>F3</t>
  </si>
  <si>
    <t>F4</t>
  </si>
  <si>
    <t>F5</t>
  </si>
  <si>
    <t>F6</t>
  </si>
  <si>
    <t>F7</t>
  </si>
  <si>
    <t>Hours Worked</t>
  </si>
  <si>
    <t>1/1</t>
  </si>
  <si>
    <t>1/2</t>
  </si>
  <si>
    <t>Element/ Standard</t>
  </si>
  <si>
    <t>1/3</t>
  </si>
  <si>
    <t>1/4</t>
  </si>
  <si>
    <t>1/5</t>
  </si>
  <si>
    <t>2/1</t>
  </si>
  <si>
    <t>2/2</t>
  </si>
  <si>
    <t>2/3</t>
  </si>
  <si>
    <t>2/4</t>
  </si>
  <si>
    <t>2/5</t>
  </si>
  <si>
    <t>3/1</t>
  </si>
  <si>
    <t>3/2</t>
  </si>
  <si>
    <t>3/3</t>
  </si>
  <si>
    <t>3/4</t>
  </si>
  <si>
    <t>4/1</t>
  </si>
  <si>
    <t>4/2</t>
  </si>
  <si>
    <t>4/3</t>
  </si>
  <si>
    <t>4/4</t>
  </si>
  <si>
    <t>4/5</t>
  </si>
  <si>
    <t>Fully Successful: An employee is considered Fully Successful if they meet all the Tier 1 metrics for Standards 1, and 2 of this Element</t>
  </si>
  <si>
    <t xml:space="preserve">Percentage of encounters which resulted in a substantiated complaint by a veteran. Tier 1 is 0.1% or less. Tier 2 is 0.05% or less </t>
  </si>
  <si>
    <t xml:space="preserve">Participation in assigned Service Recovery efforts with documentation in notes or logs. Tier 1 is 95% or more. Tier 2 is 100%. </t>
  </si>
  <si>
    <t>Successfully de-escalates a challenging patient interaction without need for supervisory intervention, as documented in notes or reported by peers/supervisors.</t>
  </si>
  <si>
    <t xml:space="preserve">Recognized by name in two or more formal commendations (e.g., STAR awards, written thank-you letters, satisfaction surveys). </t>
  </si>
  <si>
    <t>Voluntarily contributes to broader service excellence efforts (e.g., informal mentoring, sharing feedback for improvement, assisting in a service recovery beyond assigned duties).</t>
  </si>
  <si>
    <t xml:space="preserve">Patient Care and Service </t>
  </si>
  <si>
    <t>Documentation</t>
  </si>
  <si>
    <t>Unacceptable: Any employee who does not meet the requirements to be rated Fully Successful in this Element will be rated as Unacceptable.</t>
  </si>
  <si>
    <t>Fully Successful: An employee is considered Fully Successful if they meet all the Tier 1 metrics for Standards 1, 2, and 3 of this Element</t>
  </si>
  <si>
    <t>Percentage of encounter notes signed within 48 hours of the patient interaction. Tier 1 is 95% or more Tier 2 is 99% or more.</t>
  </si>
  <si>
    <t xml:space="preserve">Percentage of Spectacle orders which resulted in an Optician caused lab exception. Tier 1 is 1.0% or less. Tier 2 is 0.5% or less. </t>
  </si>
  <si>
    <t xml:space="preserve">Use of required templates and structured documentation formats. Tier 1 is 95% or more. Tier 2 is 100%. </t>
  </si>
  <si>
    <t xml:space="preserve">Assists in the review or correction of documentation issues affecting other staff (minimum two instances, verified by supervisor). </t>
  </si>
  <si>
    <t>Actively participates in a documentation-related training or process improvement initiative during the rating period (e.g., SOP updates, template review, training others, contributing feedback).</t>
  </si>
  <si>
    <t>Productivity</t>
  </si>
  <si>
    <t xml:space="preserve">Patient encounters per hour of active-duty time. Tier 1 is 1.5 encounters per hour. Tier 2 is 2.0 encounters per hour. </t>
  </si>
  <si>
    <t>Documented instances of preventable delays missed tasks, or need for supervisory coaching related to workload completion. Tier 1 is 2 or less documented instances. Tier 2 is 0 documented instances.</t>
  </si>
  <si>
    <t>Voluntarily provides support outside the scope of their normal duties during surge periods, high patient volume, or understaffing — with verification from the supervisor.</t>
  </si>
  <si>
    <t>Identifies and shares suggestions for improving productivity, organization, or efficiency with at least one idea acknowledged, discussed, or piloted in the department.</t>
  </si>
  <si>
    <t>Continuing Education</t>
  </si>
  <si>
    <t>Fully Successful: An employee is considered Fully Successful if they meet the Tier 1 metrics for Standard 1, and meet standard 2 of this Element</t>
  </si>
  <si>
    <t xml:space="preserve">On time completion of mandatory training. Tier 1 is 95%. Tier 2 is 100% </t>
  </si>
  <si>
    <t>Maintains all required certifications or credentials, such as current RQI, (Basic Life Support -BLS) certification, SAVE, PACT ACT, GEMS, Infection control and all other required TMS training. - Attends all required in-services, safety trainings, and departmental briefings, unless excused in advance.</t>
  </si>
  <si>
    <t xml:space="preserve">Earns one or more professional certifications or an academic degree relevant to their position during the rating period. </t>
  </si>
  <si>
    <t xml:space="preserve">Completes continuing education credits to maintain a professional certification (beyond required BLS), such as ABO or state licensure. </t>
  </si>
  <si>
    <t>Takes part in at least one voluntary training related to their position, offered by the VA or an external organization, documented in TMS or certificate.</t>
  </si>
  <si>
    <t>Goal 1</t>
  </si>
  <si>
    <t>Goal 2</t>
  </si>
  <si>
    <t>Goal 3</t>
  </si>
  <si>
    <t>VA will deliver timely, accessible and high-quality benefits, care and services to meet the unique needs of Veterans and all those we serve</t>
  </si>
  <si>
    <t>VA will consistently communicate with our customers and partners to assess and maximize performance, evaluate needs and build long-term relationships and trust</t>
  </si>
  <si>
    <t>VA will build and maintain trust with Veterans, their families, caregivers and survivors—as well as our employees and partners—through proven stewardship, transparency and accountability</t>
  </si>
  <si>
    <t>VA will strive toward excellence in all business operations—including governance, systems, data and management—to improve experiences, satisfaction rates, accountability and security for Veterans</t>
  </si>
  <si>
    <t>Goal 4</t>
  </si>
  <si>
    <t xml:space="preserve">This standard aligns with strategic goal 3 by assuring that Veterans have a positive and productive relationship with Optical shop staff centered on trust. </t>
  </si>
  <si>
    <t>This standard aligns with strategic goal 4 by promoting  high satisfaction rates from Veterans.</t>
  </si>
  <si>
    <t>This standard aligns with strategic goal 2 by meeting the often unique challenges that veterans face on a daily basis.</t>
  </si>
  <si>
    <t>This standard aligns with strategic goal 1 by deescalating a complex situation to one where effective communication is possible.</t>
  </si>
  <si>
    <t>This standard aligns with strategic goal 4 by encouraging staff to strive for excellence every day.</t>
  </si>
  <si>
    <t>Strategic Goals and Values</t>
  </si>
  <si>
    <t>This standard aligns with iCare value respect by encouraging optical shop staff to treat each veteran with the utmost respect.</t>
  </si>
  <si>
    <t>This standard aligns with iCare value Advocacy by engaging optical shop staff in service recovery when service has been below our standard of excellence.</t>
  </si>
  <si>
    <t>This standard aligns with iCare value Commitment when staff engage successfully with veterans who are upset or agitated rather than merely handing the veteran off to another provider or department.</t>
  </si>
  <si>
    <t>This standard aligns with strategic goal 1 as commendations and awards from Veterans demonstrate that the employee is building strong and trusting relationships with Veterans.</t>
  </si>
  <si>
    <t>This standard aligns with iCare value Excellence by acknowledging staff who are recognized with awards, or other recognition.</t>
  </si>
  <si>
    <t>This standard aligns with strategic goal 2 when staff go beyond the required scope of their duties to provide care to veterans.</t>
  </si>
  <si>
    <t>This standard aligns with strategic goal 4 when staff provide care beyond the expectations of veterans.</t>
  </si>
  <si>
    <t>This standard aligns with iCare value Commitment when staff exceed what is asked of them by the VA in order to insure that veterans have the best experience possible.</t>
  </si>
  <si>
    <t>This standard aligns with strategic goal 2 by providing timely documentation which is essential to high quality care.</t>
  </si>
  <si>
    <t>This standard aligns with strategic goal 3 by providing transparency and accountability for care provided to veterans.</t>
  </si>
  <si>
    <t>This standard aligns with iCare value Integrity by enforcing the highest professional standards among staff.</t>
  </si>
  <si>
    <t>This standard aligns with strategic goal 2 by holding staff accountable for errors that can cause delays.</t>
  </si>
  <si>
    <t>This standard aligns with strategic goal 4 by enforcing accurate data recording in patient files.</t>
  </si>
  <si>
    <t>This standard aligns with iCare value Integrity by encouraging staff to take personal ownership of the work that they produce.</t>
  </si>
  <si>
    <t>This standard aligns with strategic goal 1 by enforcing standardized information recording and communication.</t>
  </si>
  <si>
    <t>This standard aligns with strategic goal 3 by making documentation clear which allows for greater accountability.</t>
  </si>
  <si>
    <t>This standard aligns with iCare value Respect by making documentation uniform so that other staff are not required to spend excess time finding the information that they need.</t>
  </si>
  <si>
    <t>This standard aligns with strategic goal 3 by building trust between staff who are providing care for the same veterans.</t>
  </si>
  <si>
    <t>This standard aligns with strategic goal 4 by encouraging collaborative work among the staff to provide excellent care for veterans.</t>
  </si>
  <si>
    <t>This standard aligns with iCare value Advocacy when staff assist and hold each other accountable for the care they are providing to Veterans.</t>
  </si>
  <si>
    <t>This standard aligns with strategic goal 2 through continued improvement of processes which lead to high quality care and increased access.</t>
  </si>
  <si>
    <t>This standard aligns with strategic goal 4 by encouraging constant development of improved business processes.</t>
  </si>
  <si>
    <t>This standard aligns with iCare value Excellence by continual improvement leading to higher standards for quality of care.</t>
  </si>
  <si>
    <t>This standard aligns with strategic goal 2 by ensuring efficient patient care in order to maximize Veteran access.</t>
  </si>
  <si>
    <t>This standard aligns with strategic goal 4 by ensuring sufficient access to veterans to maintain patient satisfaction with wait times.</t>
  </si>
  <si>
    <t>This standard aligns with iCare value  Respect by respecting the time of veterans who are waiting for care.</t>
  </si>
  <si>
    <t>This standard aligns with strategic goal 2 by ensuring that care is provided in a timely manner.</t>
  </si>
  <si>
    <t>This standard aligns with strategic goal 3 by holding staff accountable when errors are made.</t>
  </si>
  <si>
    <t>This standard aligns with iCare value Integrity by holding staff accountable and developing trust when errors are acknowledged.</t>
  </si>
  <si>
    <t>This standard aligns with strategic goal 1 by building relationships with veterans who have needs outside the normal scope of services.</t>
  </si>
  <si>
    <t>This standard aligns with strategic goal 3 by demonstrating to veterans, their families, and caregivers our commitment to providing the care they need and building trust in the VA.</t>
  </si>
  <si>
    <t>This standard aligns with iCare value Advocacy by making sure veterans receive the care they need, even if it doesn't fit the normal scope of everyday care.</t>
  </si>
  <si>
    <t>This standard aligns with strategic goal 2 by encouraging constant process improvement leading to higher quality and more accessible care.</t>
  </si>
  <si>
    <t>This standard aligns with strategic goal 4 by continually moving the department to greater excellence in business operations.</t>
  </si>
  <si>
    <t>This standard aligns with iCare value Commitment by acknowledging work done to improve the care provided by the VA.</t>
  </si>
  <si>
    <r>
      <t>Integrity:</t>
    </r>
    <r>
      <rPr>
        <sz val="28"/>
        <color theme="1"/>
        <rFont val="Aptos"/>
        <family val="2"/>
      </rPr>
      <t> </t>
    </r>
  </si>
  <si>
    <r>
      <t>Commitment:</t>
    </r>
    <r>
      <rPr>
        <sz val="28"/>
        <color theme="1"/>
        <rFont val="Aptos"/>
        <family val="2"/>
      </rPr>
      <t> </t>
    </r>
  </si>
  <si>
    <r>
      <t>Advocacy:</t>
    </r>
    <r>
      <rPr>
        <sz val="28"/>
        <color theme="1"/>
        <rFont val="Aptos"/>
        <family val="2"/>
      </rPr>
      <t> </t>
    </r>
  </si>
  <si>
    <r>
      <t>Respect:</t>
    </r>
    <r>
      <rPr>
        <sz val="28"/>
        <color theme="1"/>
        <rFont val="Aptos"/>
        <family val="2"/>
      </rPr>
      <t> </t>
    </r>
  </si>
  <si>
    <r>
      <t>Excellence:</t>
    </r>
    <r>
      <rPr>
        <sz val="28"/>
        <color theme="1"/>
        <rFont val="Aptos"/>
        <family val="2"/>
      </rPr>
      <t> </t>
    </r>
  </si>
  <si>
    <t>Act with high moral principle. Adhere to the highest professional standards. Maintain the trust and confidence of all with whom I engage.</t>
  </si>
  <si>
    <t>Treat all those I serve and with whom I work with dignity and respect. Show respect to earn it.</t>
  </si>
  <si>
    <t>Strive for the highest quality and continuous improvement. Be thoughtful and decisive in leadership, accountable for my actions, willing to admit mistakes, and rigorous in correcting them.</t>
  </si>
  <si>
    <t>Be truly Veteran-centric by identifying, fully considering, and appropriately advancing the interests of Veterans and other beneficiaries.</t>
  </si>
  <si>
    <t>Work diligently to serve Veterans and other beneficiaries. Be driven by an earnest belief in VA’s mission. Fulfill my individual responsibilities and organizational responsibilities.</t>
  </si>
  <si>
    <t>This standard aligns with strategic goal 3 by supporting trust by assuring staff continue to be current on all VA policies and standards.</t>
  </si>
  <si>
    <t>This standard aligns with strategic goal 4 by ensuring staff continue to learn and grow professionally.</t>
  </si>
  <si>
    <t>This standard aligns with iCare value Excellence encouraging continued personal and professional growth.</t>
  </si>
  <si>
    <t>This standard aligns with strategic goal 2 by ensuring all staff meet the requirements for their positions and are competent.</t>
  </si>
  <si>
    <t>This standard aligns with strategic goal 3 by requiring all staff to transparently demonstrate that they maintain the minimum requirements to perform their duties.</t>
  </si>
  <si>
    <t>This standard aligns with iCare value Integrity by requiring all staff to maintain at least the minimum requirements for their position.</t>
  </si>
  <si>
    <t>This standard aligns with strategic goal 2 by encouraging staff to gain new and expanded skill sets.</t>
  </si>
  <si>
    <t>This standard aligns with strategic goal 4 by encouraging staff to become more skilled technicians, which improves veteran experience, contributing to improved satisfaction rates.</t>
  </si>
  <si>
    <t>This standard aligns with iCare value Excellence by promoting increased professional excellence among staff.</t>
  </si>
  <si>
    <t>Exceptional: An employee is considered Exceptional if they meet all the Tier 2 metrics for Standards 1, and 2 of this Element as well as meeting at least one standard from standards 3, 4, or 5 of this Element.</t>
  </si>
  <si>
    <t xml:space="preserve">Exceptional: An employee is considered Exceptional if they meet all the Tier 2 metrics for Standards 1, 2, and 3 of this Element as well as meeting at least one standard from standards 4 or 5 of this Element. </t>
  </si>
  <si>
    <t>Exceptional: An employee is considered Exceptional if they meet all the Tier 2 metrics for Standards 1, and 2 of this Element as well as meeting at least one standard from standards 3 or 4 of this Element.</t>
  </si>
  <si>
    <t>An employee is considered Exceptional if they meet all the Tier 2 metrics for Standard 1 and meet standard 2 of this Element as well as meeting at least one standard from standards 3, 4 or 5 of this Element.</t>
  </si>
  <si>
    <t>Element 1 Standard 1 Complaints</t>
  </si>
  <si>
    <t>Element 1 Standard 2 Service Recovery Missed</t>
  </si>
  <si>
    <t>Element 1 Standard 3  Deescalations</t>
  </si>
  <si>
    <t>Element 2     Standard 1 Unsigned Notes &gt; 48 Hours</t>
  </si>
  <si>
    <t xml:space="preserve">Element 2 Standard 2 Exceptions </t>
  </si>
  <si>
    <t>Element 2 Standard 3             Non Standard Templates</t>
  </si>
  <si>
    <t>Element 2          Standard 4            Other staff assists</t>
  </si>
  <si>
    <t>Element 2   Standard 5 Process Improvement</t>
  </si>
  <si>
    <t>Element 3 Standard 1 Encounters</t>
  </si>
  <si>
    <t>Element 3 Standard 2  Optician Caused Delays</t>
  </si>
  <si>
    <t>Element 3      Standard 3                 Out of scope work</t>
  </si>
  <si>
    <t>Element 3 Standard 4 Suggestions</t>
  </si>
  <si>
    <t>Element 4 Standard 1 TMS Modules Not Done</t>
  </si>
  <si>
    <t>Element 4 Standard 3         New Certification</t>
  </si>
  <si>
    <t>Element 4     Standard 5 Voluntairy Extra Training</t>
  </si>
  <si>
    <t xml:space="preserve">Element 1   Standard 5         Misc Vouluntary Service </t>
  </si>
  <si>
    <t>Element 1 Standard 4     Awards</t>
  </si>
  <si>
    <t>Element 4          Standard 2     Certifications Missing</t>
  </si>
  <si>
    <t>Element 4 Standard 4   CE Credits</t>
  </si>
  <si>
    <t>October</t>
  </si>
  <si>
    <t>November</t>
  </si>
  <si>
    <t>December</t>
  </si>
  <si>
    <t>January</t>
  </si>
  <si>
    <t>February</t>
  </si>
  <si>
    <t>Ryan</t>
  </si>
  <si>
    <t>Lara</t>
  </si>
  <si>
    <t>Andy</t>
  </si>
  <si>
    <t>Julie</t>
  </si>
  <si>
    <t>Paula</t>
  </si>
  <si>
    <t>March</t>
  </si>
  <si>
    <t>September</t>
  </si>
  <si>
    <t>April</t>
  </si>
  <si>
    <t>May</t>
  </si>
  <si>
    <t>June</t>
  </si>
  <si>
    <t>July</t>
  </si>
  <si>
    <t>August</t>
  </si>
  <si>
    <t>TOTAL</t>
  </si>
  <si>
    <t>Year to Date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</si>
</sst>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26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36"/>
      <color theme="0"/>
      <name val="Aptos Narrow"/>
      <family val="2"/>
      <scheme val="minor"/>
    </font>
    <font>
      <sz val="20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sz val="36"/>
      <color theme="1"/>
      <name val="Aptos Narrow"/>
      <family val="2"/>
      <scheme val="minor"/>
    </font>
    <font>
      <b/>
      <sz val="28"/>
      <color theme="1"/>
      <name val="Calibri"/>
      <family val="2"/>
    </font>
    <font>
      <sz val="14"/>
      <color theme="1"/>
      <name val="Calibri"/>
      <family val="2"/>
    </font>
    <font>
      <b/>
      <sz val="24"/>
      <color theme="1"/>
      <name val="Calibri"/>
      <family val="2"/>
    </font>
    <font>
      <sz val="3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2"/>
      <color theme="1"/>
      <name val="Aptos"/>
      <family val="2"/>
    </font>
    <font>
      <b/>
      <sz val="28"/>
      <color theme="1"/>
      <name val="Aptos"/>
      <family val="2"/>
    </font>
    <font>
      <sz val="28"/>
      <color theme="1"/>
      <name val="Aptos"/>
      <family val="2"/>
    </font>
    <font>
      <sz val="14"/>
      <color theme="1"/>
      <name val="Aptos"/>
      <family val="2"/>
    </font>
    <font>
      <sz val="12"/>
      <color rgb="FF000000"/>
      <name val="Aptos"/>
      <family val="2"/>
    </font>
    <font>
      <sz val="14"/>
      <color rgb="FFFF0000"/>
      <name val="Calibri"/>
      <family val="2"/>
    </font>
    <font>
      <sz val="14"/>
      <color rgb="FF92D050"/>
      <name val="Calibri"/>
      <family val="2"/>
    </font>
    <font>
      <sz val="14"/>
      <color rgb="FF00B05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</fills>
  <borders count="4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</borders>
  <cellStyleXfs count="8">
    <xf numFmtId="0" fontId="0" fillId="0" borderId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</cellStyleXfs>
  <cellXfs count="222">
    <xf numFmtId="0" fontId="0" fillId="0" borderId="0" xfId="0"/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7" fillId="4" borderId="0" xfId="3" applyAlignment="1">
      <alignment horizontal="center" vertical="center"/>
    </xf>
    <xf numFmtId="0" fontId="5" fillId="2" borderId="8" xfId="1" applyBorder="1" applyAlignment="1">
      <alignment horizontal="center" vertical="center"/>
    </xf>
    <xf numFmtId="0" fontId="6" fillId="3" borderId="8" xfId="2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4" fillId="5" borderId="8" xfId="4" applyBorder="1" applyAlignment="1">
      <alignment horizontal="center" vertical="center"/>
    </xf>
    <xf numFmtId="0" fontId="1" fillId="0" borderId="28" xfId="0" applyFont="1" applyBorder="1" applyAlignment="1">
      <alignment horizontal="center" vertical="center" wrapText="1"/>
    </xf>
    <xf numFmtId="0" fontId="11" fillId="0" borderId="25" xfId="0" applyFont="1" applyBorder="1" applyAlignment="1">
      <alignment horizontal="center" vertical="center"/>
    </xf>
    <xf numFmtId="0" fontId="0" fillId="0" borderId="28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3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7" fillId="4" borderId="0" xfId="3" applyAlignment="1">
      <alignment horizontal="center" vertical="center" wrapText="1"/>
    </xf>
    <xf numFmtId="0" fontId="7" fillId="4" borderId="0" xfId="3" applyAlignment="1">
      <alignment vertical="center" wrapText="1"/>
    </xf>
    <xf numFmtId="0" fontId="4" fillId="5" borderId="8" xfId="4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7" fillId="4" borderId="30" xfId="3" applyBorder="1" applyAlignment="1">
      <alignment horizontal="center" vertical="center" wrapText="1"/>
    </xf>
    <xf numFmtId="0" fontId="7" fillId="4" borderId="14" xfId="3" applyBorder="1" applyAlignment="1">
      <alignment horizontal="center" vertical="center" wrapText="1"/>
    </xf>
    <xf numFmtId="0" fontId="15" fillId="0" borderId="32" xfId="0" applyFont="1" applyBorder="1" applyAlignment="1">
      <alignment horizontal="center" vertical="center" wrapText="1"/>
    </xf>
    <xf numFmtId="0" fontId="15" fillId="0" borderId="15" xfId="0" applyFont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0" fillId="0" borderId="9" xfId="0" applyBorder="1" applyAlignment="1" applyProtection="1">
      <alignment horizontal="center" vertical="center" wrapText="1"/>
      <protection locked="0"/>
    </xf>
    <xf numFmtId="0" fontId="0" fillId="0" borderId="15" xfId="0" applyBorder="1" applyAlignment="1" applyProtection="1">
      <alignment horizontal="center" vertical="center" wrapText="1"/>
      <protection locked="0"/>
    </xf>
    <xf numFmtId="0" fontId="0" fillId="0" borderId="10" xfId="0" applyBorder="1" applyAlignment="1" applyProtection="1">
      <alignment horizontal="center" vertical="center" wrapText="1"/>
      <protection locked="0"/>
    </xf>
    <xf numFmtId="0" fontId="0" fillId="0" borderId="11" xfId="0" applyBorder="1" applyAlignment="1" applyProtection="1">
      <alignment horizontal="center" vertical="center" wrapText="1"/>
      <protection locked="0"/>
    </xf>
    <xf numFmtId="0" fontId="0" fillId="0" borderId="1" xfId="0" applyBorder="1" applyAlignment="1" applyProtection="1">
      <alignment horizontal="center" vertical="center" wrapText="1"/>
      <protection locked="0"/>
    </xf>
    <xf numFmtId="0" fontId="0" fillId="0" borderId="5" xfId="0" applyBorder="1" applyAlignment="1" applyProtection="1">
      <alignment horizontal="center" vertical="center" wrapText="1"/>
      <protection locked="0"/>
    </xf>
    <xf numFmtId="0" fontId="0" fillId="0" borderId="12" xfId="0" applyBorder="1" applyAlignment="1" applyProtection="1">
      <alignment horizontal="center" vertical="center" wrapText="1"/>
      <protection locked="0"/>
    </xf>
    <xf numFmtId="0" fontId="0" fillId="0" borderId="19" xfId="0" applyBorder="1" applyAlignment="1" applyProtection="1">
      <alignment horizontal="center" vertical="center" wrapText="1"/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0" fontId="0" fillId="0" borderId="32" xfId="0" applyBorder="1" applyAlignment="1" applyProtection="1">
      <alignment horizontal="center" vertical="center" wrapText="1"/>
      <protection locked="0"/>
    </xf>
    <xf numFmtId="0" fontId="0" fillId="0" borderId="33" xfId="0" applyBorder="1" applyAlignment="1" applyProtection="1">
      <alignment horizontal="center" vertical="center" wrapText="1"/>
      <protection locked="0"/>
    </xf>
    <xf numFmtId="0" fontId="0" fillId="0" borderId="38" xfId="0" applyBorder="1" applyAlignment="1" applyProtection="1">
      <alignment horizontal="center" vertical="center" wrapText="1"/>
      <protection locked="0"/>
    </xf>
    <xf numFmtId="2" fontId="0" fillId="0" borderId="8" xfId="0" applyNumberFormat="1" applyBorder="1" applyAlignment="1">
      <alignment horizontal="center" vertical="center" wrapText="1"/>
    </xf>
    <xf numFmtId="2" fontId="0" fillId="0" borderId="33" xfId="0" applyNumberForma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2" fontId="0" fillId="0" borderId="5" xfId="0" applyNumberFormat="1" applyBorder="1" applyAlignment="1">
      <alignment horizontal="center" vertical="center" wrapText="1"/>
    </xf>
    <xf numFmtId="1" fontId="0" fillId="0" borderId="33" xfId="0" applyNumberFormat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1" fontId="0" fillId="0" borderId="5" xfId="0" applyNumberFormat="1" applyBorder="1" applyAlignment="1">
      <alignment horizontal="center" vertical="center" wrapText="1"/>
    </xf>
    <xf numFmtId="1" fontId="0" fillId="0" borderId="34" xfId="0" applyNumberFormat="1" applyBorder="1" applyAlignment="1">
      <alignment horizontal="center" vertical="center" wrapText="1"/>
    </xf>
    <xf numFmtId="1" fontId="0" fillId="0" borderId="3" xfId="0" applyNumberFormat="1" applyBorder="1" applyAlignment="1">
      <alignment horizontal="center" vertical="center" wrapText="1"/>
    </xf>
    <xf numFmtId="1" fontId="0" fillId="0" borderId="6" xfId="0" applyNumberFormat="1" applyBorder="1" applyAlignment="1">
      <alignment horizontal="center" vertical="center" wrapText="1"/>
    </xf>
    <xf numFmtId="1" fontId="0" fillId="0" borderId="39" xfId="0" applyNumberFormat="1" applyBorder="1" applyAlignment="1">
      <alignment horizontal="center" vertical="center" wrapText="1"/>
    </xf>
    <xf numFmtId="1" fontId="0" fillId="0" borderId="40" xfId="0" applyNumberFormat="1" applyBorder="1" applyAlignment="1">
      <alignment horizontal="center" vertical="center" wrapText="1"/>
    </xf>
    <xf numFmtId="1" fontId="0" fillId="0" borderId="41" xfId="0" applyNumberFormat="1" applyBorder="1" applyAlignment="1">
      <alignment horizontal="center" vertical="center" wrapText="1"/>
    </xf>
    <xf numFmtId="1" fontId="0" fillId="0" borderId="13" xfId="0" applyNumberFormat="1" applyBorder="1" applyAlignment="1">
      <alignment horizontal="center" vertical="center" wrapText="1"/>
    </xf>
    <xf numFmtId="2" fontId="0" fillId="0" borderId="38" xfId="0" applyNumberFormat="1" applyBorder="1" applyAlignment="1">
      <alignment horizontal="center" vertical="center" wrapText="1"/>
    </xf>
    <xf numFmtId="2" fontId="0" fillId="0" borderId="19" xfId="0" applyNumberFormat="1" applyBorder="1" applyAlignment="1">
      <alignment horizontal="center" vertical="center" wrapText="1"/>
    </xf>
    <xf numFmtId="0" fontId="7" fillId="4" borderId="23" xfId="3" applyBorder="1" applyAlignment="1">
      <alignment vertical="center" wrapText="1"/>
    </xf>
    <xf numFmtId="0" fontId="16" fillId="0" borderId="8" xfId="0" applyFont="1" applyBorder="1" applyAlignment="1">
      <alignment horizontal="center" vertical="center" wrapText="1"/>
    </xf>
    <xf numFmtId="49" fontId="0" fillId="0" borderId="8" xfId="0" applyNumberFormat="1" applyBorder="1" applyAlignment="1">
      <alignment horizontal="center" vertical="center" wrapText="1"/>
    </xf>
    <xf numFmtId="0" fontId="0" fillId="6" borderId="0" xfId="0" applyFill="1"/>
    <xf numFmtId="0" fontId="2" fillId="6" borderId="0" xfId="0" applyFont="1" applyFill="1"/>
    <xf numFmtId="0" fontId="24" fillId="6" borderId="0" xfId="0" applyFont="1" applyFill="1" applyAlignment="1">
      <alignment vertical="center"/>
    </xf>
    <xf numFmtId="0" fontId="11" fillId="7" borderId="0" xfId="0" applyFont="1" applyFill="1"/>
    <xf numFmtId="0" fontId="0" fillId="7" borderId="0" xfId="0" applyFill="1"/>
    <xf numFmtId="0" fontId="19" fillId="7" borderId="0" xfId="0" applyFont="1" applyFill="1"/>
    <xf numFmtId="0" fontId="20" fillId="7" borderId="0" xfId="0" applyFont="1" applyFill="1"/>
    <xf numFmtId="0" fontId="20" fillId="7" borderId="0" xfId="0" applyFont="1" applyFill="1" applyAlignment="1">
      <alignment vertical="center"/>
    </xf>
    <xf numFmtId="0" fontId="11" fillId="8" borderId="0" xfId="0" applyFont="1" applyFill="1"/>
    <xf numFmtId="0" fontId="0" fillId="8" borderId="0" xfId="0" applyFill="1"/>
    <xf numFmtId="0" fontId="20" fillId="8" borderId="0" xfId="0" applyFont="1" applyFill="1" applyAlignment="1">
      <alignment horizontal="left" vertical="center"/>
    </xf>
    <xf numFmtId="0" fontId="20" fillId="8" borderId="0" xfId="0" applyFont="1" applyFill="1" applyAlignment="1">
      <alignment horizontal="left"/>
    </xf>
    <xf numFmtId="0" fontId="11" fillId="9" borderId="0" xfId="0" applyFont="1" applyFill="1"/>
    <xf numFmtId="0" fontId="0" fillId="9" borderId="0" xfId="0" applyFill="1"/>
    <xf numFmtId="0" fontId="20" fillId="9" borderId="0" xfId="0" applyFont="1" applyFill="1" applyAlignment="1">
      <alignment vertical="center"/>
    </xf>
    <xf numFmtId="0" fontId="20" fillId="9" borderId="0" xfId="0" applyFont="1" applyFill="1"/>
    <xf numFmtId="0" fontId="11" fillId="10" borderId="0" xfId="0" applyFont="1" applyFill="1"/>
    <xf numFmtId="0" fontId="0" fillId="10" borderId="0" xfId="0" applyFill="1"/>
    <xf numFmtId="0" fontId="20" fillId="10" borderId="0" xfId="0" applyFont="1" applyFill="1" applyAlignment="1">
      <alignment horizontal="left"/>
    </xf>
    <xf numFmtId="0" fontId="9" fillId="0" borderId="2" xfId="0" applyFont="1" applyBorder="1" applyAlignment="1">
      <alignment horizontal="center" vertical="center" wrapText="1"/>
    </xf>
    <xf numFmtId="0" fontId="8" fillId="0" borderId="1" xfId="0" applyFont="1" applyBorder="1" applyAlignment="1" applyProtection="1">
      <alignment horizontal="center" vertical="center" wrapText="1"/>
      <protection locked="0"/>
    </xf>
    <xf numFmtId="0" fontId="1" fillId="0" borderId="44" xfId="0" applyFont="1" applyBorder="1" applyAlignment="1">
      <alignment horizontal="center" vertical="center" wrapText="1"/>
    </xf>
    <xf numFmtId="0" fontId="1" fillId="0" borderId="45" xfId="0" applyFont="1" applyBorder="1" applyAlignment="1">
      <alignment horizontal="center" vertical="center" wrapText="1"/>
    </xf>
    <xf numFmtId="0" fontId="1" fillId="0" borderId="46" xfId="0" applyFont="1" applyBorder="1" applyAlignment="1">
      <alignment horizontal="center" vertical="center" wrapText="1"/>
    </xf>
    <xf numFmtId="0" fontId="3" fillId="0" borderId="43" xfId="0" applyFont="1" applyBorder="1" applyAlignment="1">
      <alignment horizontal="center" vertical="center" wrapText="1"/>
    </xf>
    <xf numFmtId="0" fontId="16" fillId="0" borderId="43" xfId="0" applyFont="1" applyBorder="1" applyAlignment="1">
      <alignment horizontal="center" vertical="center" wrapText="1"/>
    </xf>
    <xf numFmtId="0" fontId="0" fillId="0" borderId="26" xfId="0" applyBorder="1"/>
    <xf numFmtId="0" fontId="0" fillId="0" borderId="27" xfId="0" applyBorder="1"/>
    <xf numFmtId="0" fontId="0" fillId="0" borderId="28" xfId="0" applyBorder="1" applyAlignment="1">
      <alignment horizontal="center"/>
    </xf>
    <xf numFmtId="0" fontId="7" fillId="4" borderId="0" xfId="3" applyBorder="1"/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0" fontId="4" fillId="11" borderId="18" xfId="5" applyBorder="1" applyAlignment="1">
      <alignment horizontal="center"/>
    </xf>
    <xf numFmtId="0" fontId="4" fillId="11" borderId="2" xfId="5" applyBorder="1" applyAlignment="1">
      <alignment horizontal="center"/>
    </xf>
    <xf numFmtId="0" fontId="4" fillId="11" borderId="7" xfId="5" applyBorder="1" applyAlignment="1">
      <alignment horizontal="center"/>
    </xf>
    <xf numFmtId="0" fontId="4" fillId="13" borderId="2" xfId="7" applyBorder="1" applyAlignment="1">
      <alignment horizontal="center"/>
    </xf>
    <xf numFmtId="0" fontId="4" fillId="12" borderId="8" xfId="6" applyBorder="1" applyAlignment="1">
      <alignment horizontal="center"/>
    </xf>
    <xf numFmtId="0" fontId="4" fillId="11" borderId="9" xfId="5" applyBorder="1" applyAlignment="1">
      <alignment horizontal="center"/>
    </xf>
    <xf numFmtId="0" fontId="4" fillId="13" borderId="15" xfId="7" applyBorder="1" applyAlignment="1">
      <alignment horizontal="center"/>
    </xf>
    <xf numFmtId="0" fontId="4" fillId="11" borderId="15" xfId="5" applyBorder="1" applyAlignment="1">
      <alignment horizontal="center"/>
    </xf>
    <xf numFmtId="0" fontId="4" fillId="11" borderId="10" xfId="5" applyBorder="1" applyAlignment="1">
      <alignment horizontal="center"/>
    </xf>
    <xf numFmtId="0" fontId="4" fillId="12" borderId="28" xfId="6" applyBorder="1" applyAlignment="1">
      <alignment horizontal="center"/>
    </xf>
    <xf numFmtId="0" fontId="4" fillId="11" borderId="11" xfId="5" applyBorder="1" applyAlignment="1">
      <alignment horizontal="center"/>
    </xf>
    <xf numFmtId="0" fontId="4" fillId="13" borderId="1" xfId="7" applyBorder="1" applyAlignment="1">
      <alignment horizontal="center"/>
    </xf>
    <xf numFmtId="0" fontId="4" fillId="11" borderId="1" xfId="5" applyBorder="1" applyAlignment="1">
      <alignment horizontal="center"/>
    </xf>
    <xf numFmtId="0" fontId="4" fillId="11" borderId="5" xfId="5" applyBorder="1" applyAlignment="1">
      <alignment horizontal="center"/>
    </xf>
    <xf numFmtId="0" fontId="4" fillId="12" borderId="26" xfId="6" applyBorder="1" applyAlignment="1">
      <alignment horizontal="center"/>
    </xf>
    <xf numFmtId="0" fontId="4" fillId="11" borderId="12" xfId="5" applyBorder="1" applyAlignment="1">
      <alignment horizontal="center"/>
    </xf>
    <xf numFmtId="0" fontId="4" fillId="13" borderId="19" xfId="7" applyBorder="1" applyAlignment="1">
      <alignment horizontal="center"/>
    </xf>
    <xf numFmtId="0" fontId="4" fillId="11" borderId="19" xfId="5" applyBorder="1" applyAlignment="1">
      <alignment horizontal="center"/>
    </xf>
    <xf numFmtId="0" fontId="4" fillId="11" borderId="13" xfId="5" applyBorder="1" applyAlignment="1">
      <alignment horizontal="center"/>
    </xf>
    <xf numFmtId="0" fontId="4" fillId="12" borderId="27" xfId="6" applyBorder="1" applyAlignment="1">
      <alignment horizontal="center"/>
    </xf>
    <xf numFmtId="0" fontId="0" fillId="0" borderId="47" xfId="0" applyBorder="1"/>
    <xf numFmtId="0" fontId="0" fillId="0" borderId="0" xfId="0" applyAlignment="1" applyProtection="1">
      <alignment horizontal="center" vertical="center" wrapText="1"/>
      <protection locked="0"/>
    </xf>
    <xf numFmtId="0" fontId="1" fillId="0" borderId="5" xfId="0" applyFont="1" applyBorder="1" applyAlignment="1" applyProtection="1">
      <alignment horizontal="center" vertical="center" wrapText="1"/>
      <protection locked="0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10" fillId="0" borderId="29" xfId="0" applyFont="1" applyBorder="1" applyAlignment="1">
      <alignment horizontal="center" vertical="center" wrapText="1"/>
    </xf>
    <xf numFmtId="0" fontId="10" fillId="0" borderId="25" xfId="0" applyFont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14" fillId="4" borderId="0" xfId="3" applyFont="1" applyAlignment="1">
      <alignment horizontal="center" vertical="center" wrapText="1"/>
    </xf>
    <xf numFmtId="0" fontId="1" fillId="0" borderId="42" xfId="0" applyFont="1" applyBorder="1" applyAlignment="1">
      <alignment horizontal="center" vertical="center" wrapText="1"/>
    </xf>
    <xf numFmtId="0" fontId="1" fillId="0" borderId="43" xfId="0" applyFont="1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0" fontId="23" fillId="0" borderId="0" xfId="0" applyFont="1"/>
    <xf numFmtId="0" fontId="22" fillId="0" borderId="0" xfId="0" applyFont="1" applyAlignment="1">
      <alignment horizontal="left"/>
    </xf>
    <xf numFmtId="0" fontId="27" fillId="0" borderId="0" xfId="0" applyFont="1" applyAlignment="1">
      <alignment horizontal="left" vertical="center"/>
    </xf>
    <xf numFmtId="0" fontId="25" fillId="0" borderId="0" xfId="0" applyFont="1" applyAlignment="1">
      <alignment horizontal="left"/>
    </xf>
    <xf numFmtId="0" fontId="4" fillId="5" borderId="8" xfId="4" applyBorder="1" applyAlignment="1">
      <alignment horizontal="center" vertical="center"/>
    </xf>
    <xf numFmtId="0" fontId="13" fillId="4" borderId="0" xfId="3" applyFont="1" applyAlignment="1">
      <alignment horizontal="center" vertical="center"/>
    </xf>
    <xf numFmtId="0" fontId="24" fillId="6" borderId="0" xfId="0" applyFont="1" applyFill="1" applyAlignment="1">
      <alignment horizontal="left" vertical="center"/>
    </xf>
    <xf numFmtId="0" fontId="2" fillId="6" borderId="0" xfId="0" applyFont="1" applyFill="1" applyAlignment="1">
      <alignment horizontal="left"/>
    </xf>
    <xf numFmtId="0" fontId="20" fillId="10" borderId="0" xfId="0" applyFont="1" applyFill="1" applyAlignment="1">
      <alignment horizontal="left"/>
    </xf>
    <xf numFmtId="0" fontId="21" fillId="10" borderId="0" xfId="0" applyFont="1" applyFill="1" applyAlignment="1">
      <alignment horizontal="left"/>
    </xf>
    <xf numFmtId="0" fontId="20" fillId="9" borderId="0" xfId="0" applyFont="1" applyFill="1" applyAlignment="1">
      <alignment horizontal="left" vertical="center"/>
    </xf>
    <xf numFmtId="0" fontId="28" fillId="6" borderId="0" xfId="0" applyFont="1" applyFill="1" applyAlignment="1">
      <alignment horizontal="left"/>
    </xf>
    <xf numFmtId="0" fontId="29" fillId="10" borderId="0" xfId="0" applyFont="1" applyFill="1" applyAlignment="1">
      <alignment horizontal="left" vertical="center"/>
    </xf>
    <xf numFmtId="0" fontId="30" fillId="10" borderId="0" xfId="0" applyFont="1" applyFill="1" applyAlignment="1">
      <alignment horizontal="left" vertical="center"/>
    </xf>
    <xf numFmtId="0" fontId="31" fillId="10" borderId="0" xfId="0" applyFont="1" applyFill="1" applyAlignment="1">
      <alignment horizontal="left"/>
    </xf>
    <xf numFmtId="0" fontId="19" fillId="10" borderId="0" xfId="0" applyFont="1" applyFill="1" applyAlignment="1">
      <alignment horizontal="left"/>
    </xf>
    <xf numFmtId="0" fontId="21" fillId="9" borderId="0" xfId="0" applyFont="1" applyFill="1" applyAlignment="1">
      <alignment horizontal="left"/>
    </xf>
    <xf numFmtId="0" fontId="20" fillId="8" borderId="0" xfId="0" applyFont="1" applyFill="1" applyAlignment="1">
      <alignment horizontal="left"/>
    </xf>
    <xf numFmtId="0" fontId="20" fillId="9" borderId="0" xfId="0" applyFont="1" applyFill="1" applyAlignment="1">
      <alignment horizontal="left"/>
    </xf>
    <xf numFmtId="0" fontId="20" fillId="10" borderId="0" xfId="0" applyFont="1" applyFill="1" applyAlignment="1">
      <alignment horizontal="left" vertical="center" wrapText="1"/>
    </xf>
    <xf numFmtId="0" fontId="30" fillId="9" borderId="0" xfId="0" applyFont="1" applyFill="1" applyAlignment="1">
      <alignment horizontal="left" vertical="center"/>
    </xf>
    <xf numFmtId="0" fontId="31" fillId="8" borderId="0" xfId="0" applyFont="1" applyFill="1" applyAlignment="1">
      <alignment horizontal="left"/>
    </xf>
    <xf numFmtId="0" fontId="29" fillId="9" borderId="0" xfId="0" applyFont="1" applyFill="1" applyAlignment="1">
      <alignment horizontal="left" vertical="center"/>
    </xf>
    <xf numFmtId="0" fontId="20" fillId="8" borderId="0" xfId="0" applyFont="1" applyFill="1" applyAlignment="1">
      <alignment horizontal="left" vertical="center"/>
    </xf>
    <xf numFmtId="0" fontId="21" fillId="8" borderId="0" xfId="0" applyFont="1" applyFill="1" applyAlignment="1">
      <alignment horizontal="left"/>
    </xf>
    <xf numFmtId="0" fontId="11" fillId="6" borderId="0" xfId="0" applyFont="1" applyFill="1" applyAlignment="1">
      <alignment horizontal="left"/>
    </xf>
    <xf numFmtId="0" fontId="20" fillId="7" borderId="0" xfId="0" applyFont="1" applyFill="1" applyAlignment="1">
      <alignment horizontal="left" vertical="center"/>
    </xf>
    <xf numFmtId="0" fontId="21" fillId="7" borderId="0" xfId="0" applyFont="1" applyFill="1" applyAlignment="1">
      <alignment horizontal="left"/>
    </xf>
    <xf numFmtId="0" fontId="18" fillId="7" borderId="0" xfId="0" applyFont="1" applyFill="1" applyAlignment="1">
      <alignment horizontal="left"/>
    </xf>
    <xf numFmtId="0" fontId="18" fillId="8" borderId="0" xfId="0" applyFont="1" applyFill="1" applyAlignment="1">
      <alignment horizontal="left"/>
    </xf>
    <xf numFmtId="0" fontId="18" fillId="9" borderId="0" xfId="0" applyFont="1" applyFill="1" applyAlignment="1">
      <alignment horizontal="left"/>
    </xf>
    <xf numFmtId="0" fontId="20" fillId="7" borderId="0" xfId="0" applyFont="1" applyFill="1" applyAlignment="1">
      <alignment horizontal="left"/>
    </xf>
    <xf numFmtId="0" fontId="18" fillId="10" borderId="0" xfId="0" applyFont="1" applyFill="1" applyAlignment="1">
      <alignment horizontal="left"/>
    </xf>
    <xf numFmtId="0" fontId="19" fillId="7" borderId="0" xfId="0" applyFont="1" applyFill="1" applyAlignment="1">
      <alignment horizontal="left"/>
    </xf>
    <xf numFmtId="0" fontId="19" fillId="8" borderId="0" xfId="0" applyFont="1" applyFill="1" applyAlignment="1">
      <alignment horizontal="left"/>
    </xf>
    <xf numFmtId="0" fontId="19" fillId="9" borderId="0" xfId="0" applyFont="1" applyFill="1" applyAlignment="1">
      <alignment horizontal="left"/>
    </xf>
    <xf numFmtId="0" fontId="31" fillId="9" borderId="0" xfId="0" applyFont="1" applyFill="1" applyAlignment="1">
      <alignment horizontal="left" vertical="center"/>
    </xf>
    <xf numFmtId="0" fontId="29" fillId="8" borderId="0" xfId="0" applyFont="1" applyFill="1" applyAlignment="1">
      <alignment horizontal="left" vertical="center"/>
    </xf>
    <xf numFmtId="0" fontId="30" fillId="8" borderId="0" xfId="0" applyFont="1" applyFill="1" applyAlignment="1">
      <alignment horizontal="left" vertical="center"/>
    </xf>
    <xf numFmtId="0" fontId="29" fillId="7" borderId="0" xfId="0" applyFont="1" applyFill="1" applyAlignment="1">
      <alignment horizontal="left" vertical="center"/>
    </xf>
    <xf numFmtId="0" fontId="30" fillId="7" borderId="0" xfId="0" applyFont="1" applyFill="1" applyAlignment="1">
      <alignment horizontal="left" vertical="center"/>
    </xf>
    <xf numFmtId="0" fontId="31" fillId="7" borderId="0" xfId="0" applyFont="1" applyFill="1" applyAlignment="1">
      <alignment horizontal="left"/>
    </xf>
    <xf numFmtId="0" fontId="17" fillId="0" borderId="29" xfId="0" applyFont="1" applyBorder="1" applyAlignment="1">
      <alignment horizontal="center" vertical="center" wrapText="1"/>
    </xf>
    <xf numFmtId="0" fontId="17" fillId="0" borderId="25" xfId="0" applyFont="1" applyBorder="1" applyAlignment="1">
      <alignment horizontal="center" vertical="center" wrapText="1"/>
    </xf>
    <xf numFmtId="0" fontId="7" fillId="4" borderId="0" xfId="3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9" xfId="0" applyBorder="1" applyAlignment="1">
      <alignment horizontal="center"/>
    </xf>
    <xf numFmtId="0" fontId="1" fillId="0" borderId="44" xfId="0" applyFont="1" applyBorder="1" applyAlignment="1">
      <alignment horizontal="center" vertical="center" wrapText="1"/>
    </xf>
    <xf numFmtId="0" fontId="1" fillId="0" borderId="45" xfId="0" applyFont="1" applyBorder="1" applyAlignment="1">
      <alignment horizontal="center" vertical="center" wrapText="1"/>
    </xf>
    <xf numFmtId="0" fontId="1" fillId="0" borderId="46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8" fillId="0" borderId="22" xfId="0" applyFont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8" fillId="0" borderId="24" xfId="0" applyFont="1" applyBorder="1" applyAlignment="1">
      <alignment horizontal="center" vertical="center"/>
    </xf>
    <xf numFmtId="0" fontId="18" fillId="0" borderId="20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</cellXfs>
  <cellStyles count="8">
    <cellStyle name="20% - Accent1" xfId="4" builtinId="30"/>
    <cellStyle name="20% - Accent2" xfId="5" builtinId="34"/>
    <cellStyle name="20% - Accent3" xfId="6" builtinId="38"/>
    <cellStyle name="20% - Accent4" xfId="7" builtinId="42"/>
    <cellStyle name="Accent1" xfId="3" builtinId="29"/>
    <cellStyle name="Good" xfId="1" builtinId="26"/>
    <cellStyle name="Neutral" xfId="2" builtinId="28"/>
    <cellStyle name="Normal" xfId="0" builtinId="0"/>
  </cellStyles>
  <dxfs count="519">
    <dxf>
      <font>
        <color theme="7" tint="0.79998168889431442"/>
      </font>
      <fill>
        <patternFill>
          <bgColor theme="7" tint="0.79998168889431442"/>
        </patternFill>
      </fill>
    </dxf>
    <dxf>
      <font>
        <color theme="9" tint="-0.24994659260841701"/>
      </font>
      <fill>
        <patternFill>
          <bgColor theme="9" tint="-0.24994659260841701"/>
        </patternFill>
      </fill>
    </dxf>
    <dxf>
      <font>
        <color theme="9" tint="0.79998168889431442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7" tint="-0.24994659260841701"/>
      </font>
      <fill>
        <patternFill>
          <bgColor theme="7" tint="-0.24994659260841701"/>
        </patternFill>
      </fill>
    </dxf>
    <dxf>
      <font>
        <color theme="7" tint="-0.24994659260841701"/>
      </font>
      <fill>
        <patternFill>
          <bgColor theme="7" tint="-0.24994659260841701"/>
        </patternFill>
      </fill>
    </dxf>
    <dxf>
      <font>
        <color theme="7" tint="0.79998168889431442"/>
      </font>
      <fill>
        <patternFill>
          <bgColor theme="7" tint="0.79998168889431442"/>
        </patternFill>
      </fill>
    </dxf>
    <dxf>
      <font>
        <color theme="9" tint="-0.24994659260841701"/>
      </font>
      <fill>
        <patternFill>
          <bgColor theme="9" tint="-0.24994659260841701"/>
        </patternFill>
      </fill>
    </dxf>
    <dxf>
      <font>
        <color theme="9" tint="0.79998168889431442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theme="7" tint="-0.2499465926084170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7" tint="0.79998168889431442"/>
        </patternFill>
      </fill>
    </dxf>
    <dxf>
      <font>
        <color theme="0"/>
      </font>
      <fill>
        <patternFill>
          <bgColor theme="7" tint="-0.24994659260841701"/>
        </patternFill>
      </fill>
    </dxf>
    <dxf>
      <fill>
        <patternFill>
          <bgColor theme="7" tint="0.79998168889431442"/>
        </patternFill>
      </fill>
    </dxf>
    <dxf>
      <font>
        <color theme="0"/>
      </font>
      <fill>
        <patternFill>
          <bgColor theme="7" tint="-0.24994659260841701"/>
        </patternFill>
      </fill>
    </dxf>
    <dxf>
      <font>
        <color theme="0"/>
      </font>
      <fill>
        <patternFill>
          <bgColor theme="7" tint="-0.24994659260841701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ont>
        <color theme="0"/>
      </font>
      <fill>
        <patternFill>
          <bgColor theme="7" tint="-0.24994659260841701"/>
        </patternFill>
      </fill>
    </dxf>
    <dxf>
      <fill>
        <patternFill>
          <bgColor theme="9" tint="0.79998168889431442"/>
        </patternFill>
      </fill>
    </dxf>
    <dxf>
      <font>
        <color theme="0"/>
      </font>
      <fill>
        <patternFill>
          <bgColor theme="9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ont>
        <color theme="0"/>
      </font>
      <fill>
        <patternFill>
          <bgColor theme="7" tint="-0.24994659260841701"/>
        </patternFill>
      </fill>
    </dxf>
    <dxf>
      <fill>
        <patternFill>
          <bgColor theme="7" tint="0.79998168889431442"/>
        </patternFill>
      </fill>
    </dxf>
    <dxf>
      <font>
        <color theme="0"/>
      </font>
      <fill>
        <patternFill>
          <bgColor theme="7" tint="-0.24994659260841701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theme="9" tint="-0.24994659260841701"/>
        </patternFill>
      </fill>
    </dxf>
    <dxf>
      <fill>
        <patternFill>
          <bgColor theme="7" tint="0.79998168889431442"/>
        </patternFill>
      </fill>
    </dxf>
    <dxf>
      <font>
        <color theme="0"/>
      </font>
      <fill>
        <patternFill>
          <bgColor theme="7" tint="-0.24994659260841701"/>
        </patternFill>
      </fill>
    </dxf>
    <dxf>
      <font>
        <color theme="0"/>
      </font>
      <fill>
        <patternFill>
          <bgColor theme="7" tint="-0.2499465926084170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ont>
        <color theme="0"/>
      </font>
      <fill>
        <patternFill>
          <bgColor theme="9" tint="-0.24994659260841701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theme="9" tint="-0.24994659260841701"/>
        </patternFill>
      </fill>
    </dxf>
    <dxf>
      <fill>
        <patternFill>
          <bgColor theme="7" tint="0.79998168889431442"/>
        </patternFill>
      </fill>
    </dxf>
    <dxf>
      <font>
        <color theme="0"/>
      </font>
      <fill>
        <patternFill>
          <bgColor theme="7" tint="-0.24994659260841701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theme="7" tint="0.79998168889431442"/>
      </font>
      <fill>
        <patternFill>
          <bgColor theme="7" tint="0.79998168889431442"/>
        </patternFill>
      </fill>
    </dxf>
    <dxf>
      <font>
        <color theme="9" tint="-0.24994659260841701"/>
      </font>
      <fill>
        <patternFill>
          <bgColor theme="9" tint="-0.24994659260841701"/>
        </patternFill>
      </fill>
    </dxf>
    <dxf>
      <font>
        <color theme="9" tint="0.79998168889431442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7" tint="-0.24994659260841701"/>
      </font>
      <fill>
        <patternFill>
          <bgColor theme="7" tint="-0.24994659260841701"/>
        </patternFill>
      </fill>
    </dxf>
    <dxf>
      <font>
        <color theme="7" tint="-0.24994659260841701"/>
      </font>
      <fill>
        <patternFill>
          <bgColor theme="7" tint="-0.24994659260841701"/>
        </patternFill>
      </fill>
    </dxf>
    <dxf>
      <font>
        <color theme="7" tint="0.79998168889431442"/>
      </font>
      <fill>
        <patternFill>
          <bgColor theme="7" tint="0.79998168889431442"/>
        </patternFill>
      </fill>
    </dxf>
    <dxf>
      <font>
        <color theme="9" tint="-0.24994659260841701"/>
      </font>
      <fill>
        <patternFill>
          <bgColor theme="9" tint="-0.24994659260841701"/>
        </patternFill>
      </fill>
    </dxf>
    <dxf>
      <font>
        <color theme="9" tint="0.79998168889431442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theme="7" tint="-0.2499465926084170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7" tint="0.79998168889431442"/>
        </patternFill>
      </fill>
    </dxf>
    <dxf>
      <font>
        <color theme="0"/>
      </font>
      <fill>
        <patternFill>
          <bgColor theme="7" tint="-0.24994659260841701"/>
        </patternFill>
      </fill>
    </dxf>
    <dxf>
      <fill>
        <patternFill>
          <bgColor theme="7" tint="0.79998168889431442"/>
        </patternFill>
      </fill>
    </dxf>
    <dxf>
      <font>
        <color theme="0"/>
      </font>
      <fill>
        <patternFill>
          <bgColor theme="7" tint="-0.24994659260841701"/>
        </patternFill>
      </fill>
    </dxf>
    <dxf>
      <font>
        <color theme="0"/>
      </font>
      <fill>
        <patternFill>
          <bgColor theme="7" tint="-0.24994659260841701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ont>
        <color theme="0"/>
      </font>
      <fill>
        <patternFill>
          <bgColor theme="7" tint="-0.24994659260841701"/>
        </patternFill>
      </fill>
    </dxf>
    <dxf>
      <fill>
        <patternFill>
          <bgColor theme="9" tint="0.79998168889431442"/>
        </patternFill>
      </fill>
    </dxf>
    <dxf>
      <font>
        <color theme="0"/>
      </font>
      <fill>
        <patternFill>
          <bgColor theme="9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ont>
        <color theme="0"/>
      </font>
      <fill>
        <patternFill>
          <bgColor theme="7" tint="-0.24994659260841701"/>
        </patternFill>
      </fill>
    </dxf>
    <dxf>
      <fill>
        <patternFill>
          <bgColor theme="7" tint="0.79998168889431442"/>
        </patternFill>
      </fill>
    </dxf>
    <dxf>
      <font>
        <color theme="0"/>
      </font>
      <fill>
        <patternFill>
          <bgColor theme="7" tint="-0.24994659260841701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theme="9" tint="-0.24994659260841701"/>
        </patternFill>
      </fill>
    </dxf>
    <dxf>
      <fill>
        <patternFill>
          <bgColor theme="7" tint="0.79998168889431442"/>
        </patternFill>
      </fill>
    </dxf>
    <dxf>
      <font>
        <color theme="0"/>
      </font>
      <fill>
        <patternFill>
          <bgColor theme="7" tint="-0.24994659260841701"/>
        </patternFill>
      </fill>
    </dxf>
    <dxf>
      <font>
        <color theme="0"/>
      </font>
      <fill>
        <patternFill>
          <bgColor theme="7" tint="-0.2499465926084170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ont>
        <color theme="0"/>
      </font>
      <fill>
        <patternFill>
          <bgColor theme="9" tint="-0.24994659260841701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theme="9" tint="-0.24994659260841701"/>
        </patternFill>
      </fill>
    </dxf>
    <dxf>
      <fill>
        <patternFill>
          <bgColor theme="7" tint="0.79998168889431442"/>
        </patternFill>
      </fill>
    </dxf>
    <dxf>
      <font>
        <color theme="0"/>
      </font>
      <fill>
        <patternFill>
          <bgColor theme="7" tint="-0.24994659260841701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theme="9" tint="0.79998168889431442"/>
      </font>
      <fill>
        <patternFill>
          <bgColor theme="9" tint="0.79998168889431442"/>
        </patternFill>
      </fill>
    </dxf>
    <dxf>
      <font>
        <color theme="7" tint="-0.24994659260841701"/>
      </font>
      <fill>
        <patternFill>
          <bgColor theme="7" tint="-0.24994659260841701"/>
        </patternFill>
      </fill>
    </dxf>
    <dxf>
      <font>
        <color theme="7" tint="0.79998168889431442"/>
      </font>
      <fill>
        <patternFill>
          <bgColor theme="7" tint="0.79998168889431442"/>
        </patternFill>
      </fill>
    </dxf>
    <dxf>
      <font>
        <color theme="9" tint="-0.24994659260841701"/>
      </font>
      <fill>
        <patternFill>
          <bgColor theme="9" tint="-0.24994659260841701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7" tint="0.79998168889431442"/>
      </font>
      <fill>
        <patternFill>
          <bgColor theme="7" tint="0.79998168889431442"/>
        </patternFill>
      </fill>
    </dxf>
    <dxf>
      <font>
        <color theme="9" tint="0.79998168889431442"/>
      </font>
      <fill>
        <patternFill>
          <bgColor theme="9" tint="0.79998168889431442"/>
        </patternFill>
      </fill>
    </dxf>
    <dxf>
      <font>
        <color theme="7" tint="-0.24994659260841701"/>
      </font>
      <fill>
        <patternFill>
          <bgColor theme="7" tint="-0.24994659260841701"/>
        </patternFill>
      </fill>
    </dxf>
    <dxf>
      <font>
        <color theme="9" tint="-0.24994659260841701"/>
      </font>
      <fill>
        <patternFill>
          <bgColor theme="9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theme="7" tint="-0.2499465926084170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7" tint="0.79998168889431442"/>
        </patternFill>
      </fill>
    </dxf>
    <dxf>
      <font>
        <color theme="0"/>
      </font>
      <fill>
        <patternFill>
          <bgColor theme="7" tint="-0.24994659260841701"/>
        </patternFill>
      </fill>
    </dxf>
    <dxf>
      <fill>
        <patternFill>
          <bgColor theme="7" tint="0.79998168889431442"/>
        </patternFill>
      </fill>
    </dxf>
    <dxf>
      <font>
        <color theme="0"/>
      </font>
      <fill>
        <patternFill>
          <bgColor theme="7" tint="-0.24994659260841701"/>
        </patternFill>
      </fill>
    </dxf>
    <dxf>
      <fill>
        <patternFill>
          <bgColor theme="7" tint="0.79998168889431442"/>
        </patternFill>
      </fill>
    </dxf>
    <dxf>
      <font>
        <color theme="0"/>
      </font>
      <fill>
        <patternFill>
          <bgColor theme="7" tint="-0.24994659260841701"/>
        </patternFill>
      </fill>
    </dxf>
    <dxf>
      <fill>
        <patternFill>
          <bgColor theme="7" tint="0.79998168889431442"/>
        </patternFill>
      </fill>
    </dxf>
    <dxf>
      <font>
        <color theme="0"/>
      </font>
      <fill>
        <patternFill>
          <bgColor theme="7" tint="-0.24994659260841701"/>
        </patternFill>
      </fill>
    </dxf>
    <dxf>
      <fill>
        <patternFill>
          <bgColor theme="9" tint="0.79998168889431442"/>
        </patternFill>
      </fill>
    </dxf>
    <dxf>
      <font>
        <color theme="0"/>
      </font>
      <fill>
        <patternFill>
          <bgColor theme="9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ont>
        <color theme="0"/>
      </font>
      <fill>
        <patternFill>
          <bgColor theme="7" tint="-0.24994659260841701"/>
        </patternFill>
      </fill>
    </dxf>
    <dxf>
      <fill>
        <patternFill>
          <bgColor theme="7" tint="0.79998168889431442"/>
        </patternFill>
      </fill>
    </dxf>
    <dxf>
      <font>
        <color theme="0"/>
      </font>
      <fill>
        <patternFill>
          <bgColor theme="7" tint="-0.2499465926084170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ont>
        <color theme="0"/>
      </font>
      <fill>
        <patternFill>
          <bgColor theme="9" tint="-0.24994659260841701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theme="7" tint="0.79998168889431442"/>
        </patternFill>
      </fill>
    </dxf>
    <dxf>
      <font>
        <color theme="0"/>
      </font>
      <fill>
        <patternFill>
          <bgColor theme="7" tint="-0.24994659260841701"/>
        </patternFill>
      </fill>
    </dxf>
    <dxf>
      <font>
        <color theme="0"/>
      </font>
      <fill>
        <patternFill>
          <bgColor theme="7" tint="-0.24994659260841701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ont>
        <color theme="0"/>
      </font>
      <fill>
        <patternFill>
          <bgColor theme="9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theme="9" tint="-0.24994659260841701"/>
        </patternFill>
      </fill>
    </dxf>
    <dxf>
      <fill>
        <patternFill>
          <bgColor theme="7" tint="0.79998168889431442"/>
        </patternFill>
      </fill>
    </dxf>
    <dxf>
      <font>
        <color theme="0"/>
      </font>
      <fill>
        <patternFill>
          <bgColor theme="7" tint="-0.24994659260841701"/>
        </patternFill>
      </fill>
    </dxf>
    <dxf>
      <fill>
        <patternFill>
          <bgColor theme="7" tint="0.79998168889431442"/>
        </patternFill>
      </fill>
    </dxf>
    <dxf>
      <font>
        <color theme="0"/>
      </font>
      <fill>
        <patternFill>
          <bgColor theme="7" tint="-0.24994659260841701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rgb="FFFF0000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rgb="FFFF0000"/>
        </patternFill>
      </fill>
    </dxf>
    <dxf>
      <font>
        <color theme="9" tint="0.79998168889431442"/>
      </font>
      <fill>
        <patternFill>
          <bgColor theme="9" tint="0.79998168889431442"/>
        </patternFill>
      </fill>
    </dxf>
    <dxf>
      <font>
        <color theme="7" tint="-0.24994659260841701"/>
      </font>
      <fill>
        <patternFill>
          <bgColor theme="7" tint="-0.24994659260841701"/>
        </patternFill>
      </fill>
    </dxf>
    <dxf>
      <font>
        <color theme="7" tint="0.79998168889431442"/>
      </font>
      <fill>
        <patternFill>
          <bgColor theme="7" tint="0.79998168889431442"/>
        </patternFill>
      </fill>
    </dxf>
    <dxf>
      <font>
        <color theme="9" tint="-0.24994659260841701"/>
      </font>
      <fill>
        <patternFill>
          <bgColor theme="9" tint="-0.24994659260841701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7" tint="0.79998168889431442"/>
      </font>
      <fill>
        <patternFill>
          <bgColor theme="7" tint="0.79998168889431442"/>
        </patternFill>
      </fill>
    </dxf>
    <dxf>
      <font>
        <color theme="9" tint="0.79998168889431442"/>
      </font>
      <fill>
        <patternFill>
          <bgColor theme="9" tint="0.79998168889431442"/>
        </patternFill>
      </fill>
    </dxf>
    <dxf>
      <font>
        <color theme="7" tint="-0.24994659260841701"/>
      </font>
      <fill>
        <patternFill>
          <bgColor theme="7" tint="-0.24994659260841701"/>
        </patternFill>
      </fill>
    </dxf>
    <dxf>
      <font>
        <color theme="9" tint="-0.24994659260841701"/>
      </font>
      <fill>
        <patternFill>
          <bgColor theme="9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theme="7" tint="-0.2499465926084170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7" tint="0.79998168889431442"/>
        </patternFill>
      </fill>
    </dxf>
    <dxf>
      <font>
        <color theme="0"/>
      </font>
      <fill>
        <patternFill>
          <bgColor theme="7" tint="-0.24994659260841701"/>
        </patternFill>
      </fill>
    </dxf>
    <dxf>
      <fill>
        <patternFill>
          <bgColor theme="7" tint="0.79998168889431442"/>
        </patternFill>
      </fill>
    </dxf>
    <dxf>
      <font>
        <color theme="0"/>
      </font>
      <fill>
        <patternFill>
          <bgColor theme="7" tint="-0.24994659260841701"/>
        </patternFill>
      </fill>
    </dxf>
    <dxf>
      <fill>
        <patternFill>
          <bgColor theme="7" tint="0.79998168889431442"/>
        </patternFill>
      </fill>
    </dxf>
    <dxf>
      <font>
        <color theme="0"/>
      </font>
      <fill>
        <patternFill>
          <bgColor theme="7" tint="-0.24994659260841701"/>
        </patternFill>
      </fill>
    </dxf>
    <dxf>
      <fill>
        <patternFill>
          <bgColor theme="7" tint="0.79998168889431442"/>
        </patternFill>
      </fill>
    </dxf>
    <dxf>
      <font>
        <color theme="0"/>
      </font>
      <fill>
        <patternFill>
          <bgColor theme="7" tint="-0.24994659260841701"/>
        </patternFill>
      </fill>
    </dxf>
    <dxf>
      <fill>
        <patternFill>
          <bgColor theme="9" tint="0.79998168889431442"/>
        </patternFill>
      </fill>
    </dxf>
    <dxf>
      <font>
        <color theme="0"/>
      </font>
      <fill>
        <patternFill>
          <bgColor theme="9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ont>
        <color theme="0"/>
      </font>
      <fill>
        <patternFill>
          <bgColor theme="7" tint="-0.24994659260841701"/>
        </patternFill>
      </fill>
    </dxf>
    <dxf>
      <fill>
        <patternFill>
          <bgColor theme="7" tint="0.79998168889431442"/>
        </patternFill>
      </fill>
    </dxf>
    <dxf>
      <font>
        <color theme="0"/>
      </font>
      <fill>
        <patternFill>
          <bgColor theme="7" tint="-0.2499465926084170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ont>
        <color theme="0"/>
      </font>
      <fill>
        <patternFill>
          <bgColor theme="9" tint="-0.24994659260841701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theme="7" tint="0.79998168889431442"/>
        </patternFill>
      </fill>
    </dxf>
    <dxf>
      <font>
        <color theme="0"/>
      </font>
      <fill>
        <patternFill>
          <bgColor theme="7" tint="-0.24994659260841701"/>
        </patternFill>
      </fill>
    </dxf>
    <dxf>
      <font>
        <color theme="0"/>
      </font>
      <fill>
        <patternFill>
          <bgColor theme="7" tint="-0.24994659260841701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ont>
        <color theme="0"/>
      </font>
      <fill>
        <patternFill>
          <bgColor theme="9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theme="9" tint="-0.24994659260841701"/>
        </patternFill>
      </fill>
    </dxf>
    <dxf>
      <fill>
        <patternFill>
          <bgColor theme="7" tint="0.79998168889431442"/>
        </patternFill>
      </fill>
    </dxf>
    <dxf>
      <font>
        <color theme="0"/>
      </font>
      <fill>
        <patternFill>
          <bgColor theme="7" tint="-0.24994659260841701"/>
        </patternFill>
      </fill>
    </dxf>
    <dxf>
      <fill>
        <patternFill>
          <bgColor theme="7" tint="0.79998168889431442"/>
        </patternFill>
      </fill>
    </dxf>
    <dxf>
      <font>
        <color theme="0"/>
      </font>
      <fill>
        <patternFill>
          <bgColor theme="7" tint="-0.24994659260841701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rgb="FFFF0000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9" tint="0.79998168889431442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-0.24994659260841701"/>
        </patternFill>
      </fill>
    </dxf>
    <dxf>
      <font>
        <color theme="7" tint="0.79998168889431442"/>
      </font>
      <fill>
        <patternFill>
          <bgColor theme="7" tint="0.79998168889431442"/>
        </patternFill>
      </fill>
    </dxf>
    <dxf>
      <font>
        <color theme="7" tint="-0.24994659260841701"/>
      </font>
      <fill>
        <patternFill>
          <bgColor theme="7" tint="-0.24994659260841701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9" tint="0.79998168889431442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-0.24994659260841701"/>
        </patternFill>
      </fill>
    </dxf>
    <dxf>
      <font>
        <color theme="7" tint="0.79998168889431442"/>
      </font>
      <fill>
        <patternFill>
          <bgColor theme="7" tint="0.79998168889431442"/>
        </patternFill>
      </fill>
    </dxf>
    <dxf>
      <font>
        <color theme="7" tint="-0.24994659260841701"/>
      </font>
      <fill>
        <patternFill>
          <bgColor theme="7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theme="7" tint="-0.2499465926084170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7" tint="0.79998168889431442"/>
        </patternFill>
      </fill>
    </dxf>
    <dxf>
      <font>
        <color theme="0"/>
      </font>
      <fill>
        <patternFill>
          <bgColor theme="7" tint="-0.24994659260841701"/>
        </patternFill>
      </fill>
    </dxf>
    <dxf>
      <font>
        <color theme="0"/>
      </font>
      <fill>
        <patternFill>
          <bgColor theme="7" tint="-0.24994659260841701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ont>
        <color theme="0"/>
      </font>
      <fill>
        <patternFill>
          <bgColor theme="7" tint="-0.24994659260841701"/>
        </patternFill>
      </fill>
    </dxf>
    <dxf>
      <font>
        <color theme="0"/>
      </font>
      <fill>
        <patternFill>
          <bgColor theme="7" tint="-0.24994659260841701"/>
        </patternFill>
      </fill>
    </dxf>
    <dxf>
      <fill>
        <patternFill>
          <bgColor theme="7" tint="0.79998168889431442"/>
        </patternFill>
      </fill>
    </dxf>
    <dxf>
      <font>
        <color theme="0"/>
      </font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theme="7" tint="0.79998168889431442"/>
        </patternFill>
      </fill>
    </dxf>
    <dxf>
      <font>
        <color theme="0"/>
      </font>
      <fill>
        <patternFill>
          <bgColor theme="7" tint="-0.24994659260841701"/>
        </patternFill>
      </fill>
    </dxf>
    <dxf>
      <font>
        <color theme="0"/>
      </font>
      <fill>
        <patternFill>
          <bgColor theme="7" tint="-0.2499465926084170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ont>
        <color theme="0"/>
      </font>
      <fill>
        <patternFill>
          <bgColor theme="9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ont>
        <color theme="0"/>
      </font>
      <fill>
        <patternFill>
          <bgColor theme="9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7" tint="0.79998168889431442"/>
        </patternFill>
      </fill>
    </dxf>
    <dxf>
      <font>
        <color theme="0"/>
      </font>
      <fill>
        <patternFill>
          <bgColor theme="7" tint="-0.24994659260841701"/>
        </patternFill>
      </fill>
    </dxf>
    <dxf>
      <font>
        <color theme="0"/>
      </font>
      <fill>
        <patternFill>
          <bgColor theme="7" tint="-0.2499465926084170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ont>
        <color theme="0"/>
      </font>
      <fill>
        <patternFill>
          <bgColor theme="9" tint="-0.24994659260841701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theme="9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ont>
        <color theme="0"/>
      </font>
      <fill>
        <patternFill>
          <bgColor theme="7" tint="-0.24994659260841701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rgb="FFFF0000"/>
        </patternFill>
      </fill>
    </dxf>
    <dxf>
      <font>
        <color theme="7" tint="0.79998168889431442"/>
      </font>
      <fill>
        <patternFill>
          <bgColor theme="7" tint="0.79998168889431442"/>
        </patternFill>
      </fill>
    </dxf>
    <dxf>
      <font>
        <color theme="9" tint="-0.24994659260841701"/>
      </font>
      <fill>
        <patternFill>
          <bgColor theme="9" tint="-0.24994659260841701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9" tint="0.79998168889431442"/>
      </font>
      <fill>
        <patternFill>
          <bgColor theme="9" tint="0.79998168889431442"/>
        </patternFill>
      </fill>
    </dxf>
    <dxf>
      <font>
        <color theme="7" tint="-0.24994659260841701"/>
      </font>
      <fill>
        <patternFill>
          <bgColor theme="7" tint="-0.24994659260841701"/>
        </patternFill>
      </fill>
    </dxf>
    <dxf>
      <font>
        <color theme="7" tint="-0.24994659260841701"/>
      </font>
      <fill>
        <patternFill>
          <bgColor theme="7" tint="-0.24994659260841701"/>
        </patternFill>
      </fill>
    </dxf>
    <dxf>
      <font>
        <color theme="7" tint="0.79998168889431442"/>
      </font>
      <fill>
        <patternFill>
          <bgColor theme="7" tint="0.79998168889431442"/>
        </patternFill>
      </fill>
    </dxf>
    <dxf>
      <font>
        <color theme="9" tint="-0.24994659260841701"/>
      </font>
      <fill>
        <patternFill>
          <bgColor theme="9" tint="-0.24994659260841701"/>
        </patternFill>
      </fill>
    </dxf>
    <dxf>
      <font>
        <color theme="9" tint="0.79998168889431442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theme="7" tint="-0.2499465926084170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7" tint="0.79998168889431442"/>
        </patternFill>
      </fill>
    </dxf>
    <dxf>
      <font>
        <color theme="0"/>
      </font>
      <fill>
        <patternFill>
          <bgColor theme="7" tint="-0.24994659260841701"/>
        </patternFill>
      </fill>
    </dxf>
    <dxf>
      <fill>
        <patternFill>
          <bgColor theme="7" tint="0.79998168889431442"/>
        </patternFill>
      </fill>
    </dxf>
    <dxf>
      <font>
        <color theme="0"/>
      </font>
      <fill>
        <patternFill>
          <bgColor theme="7" tint="-0.24994659260841701"/>
        </patternFill>
      </fill>
    </dxf>
    <dxf>
      <font>
        <color theme="0"/>
      </font>
      <fill>
        <patternFill>
          <bgColor theme="7" tint="-0.24994659260841701"/>
        </patternFill>
      </fill>
    </dxf>
    <dxf>
      <fill>
        <patternFill>
          <bgColor theme="7" tint="0.79998168889431442"/>
        </patternFill>
      </fill>
    </dxf>
    <dxf>
      <font>
        <color theme="0"/>
      </font>
      <fill>
        <patternFill>
          <bgColor theme="7" tint="-0.24994659260841701"/>
        </patternFill>
      </fill>
    </dxf>
    <dxf>
      <fill>
        <patternFill>
          <bgColor theme="7" tint="0.79998168889431442"/>
        </patternFill>
      </fill>
    </dxf>
    <dxf>
      <font>
        <color theme="0"/>
      </font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ont>
        <color theme="0"/>
      </font>
      <fill>
        <patternFill>
          <bgColor theme="7" tint="-0.24994659260841701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ont>
        <color theme="0"/>
      </font>
      <fill>
        <patternFill>
          <bgColor theme="7" tint="-0.24994659260841701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ont>
        <color theme="0"/>
      </font>
      <fill>
        <patternFill>
          <bgColor theme="7" tint="-0.24994659260841701"/>
        </patternFill>
      </fill>
    </dxf>
    <dxf>
      <font>
        <color theme="0"/>
      </font>
      <fill>
        <patternFill>
          <bgColor theme="7" tint="-0.2499465926084170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ont>
        <color theme="0"/>
      </font>
      <fill>
        <patternFill>
          <bgColor theme="9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theme="9" tint="-0.24994659260841701"/>
        </patternFill>
      </fill>
    </dxf>
    <dxf>
      <fill>
        <patternFill>
          <bgColor theme="7" tint="0.79998168889431442"/>
        </patternFill>
      </fill>
    </dxf>
    <dxf>
      <font>
        <color theme="0"/>
      </font>
      <fill>
        <patternFill>
          <bgColor theme="7" tint="-0.24994659260841701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rgb="FFFF0000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9" tint="0.79998168889431442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-0.24994659260841701"/>
        </patternFill>
      </fill>
    </dxf>
    <dxf>
      <font>
        <color theme="7" tint="0.79998168889431442"/>
      </font>
      <fill>
        <patternFill>
          <bgColor theme="7" tint="0.79998168889431442"/>
        </patternFill>
      </fill>
    </dxf>
    <dxf>
      <font>
        <color theme="7" tint="-0.24994659260841701"/>
      </font>
      <fill>
        <patternFill>
          <bgColor theme="7" tint="-0.24994659260841701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9" tint="0.79998168889431442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-0.24994659260841701"/>
        </patternFill>
      </fill>
    </dxf>
    <dxf>
      <font>
        <color theme="7" tint="0.79998168889431442"/>
      </font>
      <fill>
        <patternFill>
          <bgColor theme="7" tint="0.79998168889431442"/>
        </patternFill>
      </fill>
    </dxf>
    <dxf>
      <font>
        <color theme="7" tint="-0.24994659260841701"/>
      </font>
      <fill>
        <patternFill>
          <bgColor theme="7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theme="7" tint="-0.2499465926084170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7" tint="0.79998168889431442"/>
        </patternFill>
      </fill>
    </dxf>
    <dxf>
      <font>
        <color theme="0"/>
      </font>
      <fill>
        <patternFill>
          <bgColor theme="7" tint="-0.24994659260841701"/>
        </patternFill>
      </fill>
    </dxf>
    <dxf>
      <font>
        <color theme="0"/>
      </font>
      <fill>
        <patternFill>
          <bgColor theme="7" tint="-0.24994659260841701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ont>
        <color theme="0"/>
      </font>
      <fill>
        <patternFill>
          <bgColor theme="7" tint="-0.24994659260841701"/>
        </patternFill>
      </fill>
    </dxf>
    <dxf>
      <font>
        <color theme="0"/>
      </font>
      <fill>
        <patternFill>
          <bgColor theme="7" tint="-0.24994659260841701"/>
        </patternFill>
      </fill>
    </dxf>
    <dxf>
      <fill>
        <patternFill>
          <bgColor theme="7" tint="0.79998168889431442"/>
        </patternFill>
      </fill>
    </dxf>
    <dxf>
      <font>
        <color theme="0"/>
      </font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theme="7" tint="0.79998168889431442"/>
        </patternFill>
      </fill>
    </dxf>
    <dxf>
      <font>
        <color theme="0"/>
      </font>
      <fill>
        <patternFill>
          <bgColor theme="7" tint="-0.24994659260841701"/>
        </patternFill>
      </fill>
    </dxf>
    <dxf>
      <font>
        <color theme="0"/>
      </font>
      <fill>
        <patternFill>
          <bgColor theme="7" tint="-0.2499465926084170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ont>
        <color theme="0"/>
      </font>
      <fill>
        <patternFill>
          <bgColor theme="9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ont>
        <color theme="0"/>
      </font>
      <fill>
        <patternFill>
          <bgColor theme="9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7" tint="0.79998168889431442"/>
        </patternFill>
      </fill>
    </dxf>
    <dxf>
      <font>
        <color theme="0"/>
      </font>
      <fill>
        <patternFill>
          <bgColor theme="7" tint="-0.24994659260841701"/>
        </patternFill>
      </fill>
    </dxf>
    <dxf>
      <font>
        <color theme="0"/>
      </font>
      <fill>
        <patternFill>
          <bgColor theme="7" tint="-0.2499465926084170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ont>
        <color theme="0"/>
      </font>
      <fill>
        <patternFill>
          <bgColor theme="9" tint="-0.24994659260841701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theme="9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ont>
        <color theme="0"/>
      </font>
      <fill>
        <patternFill>
          <bgColor theme="7" tint="-0.24994659260841701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rgb="FFFF0000"/>
        </patternFill>
      </fill>
    </dxf>
    <dxf>
      <font>
        <color theme="9" tint="0.79998168889431442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9" tint="-0.24994659260841701"/>
      </font>
      <fill>
        <patternFill>
          <bgColor theme="9" tint="-0.24994659260841701"/>
        </patternFill>
      </fill>
    </dxf>
    <dxf>
      <font>
        <color theme="7" tint="0.79998168889431442"/>
      </font>
      <fill>
        <patternFill>
          <bgColor theme="7" tint="0.79998168889431442"/>
        </patternFill>
      </fill>
    </dxf>
    <dxf>
      <font>
        <color theme="7" tint="-0.24994659260841701"/>
      </font>
      <fill>
        <patternFill>
          <bgColor theme="7" tint="-0.24994659260841701"/>
        </patternFill>
      </fill>
    </dxf>
    <dxf>
      <font>
        <color theme="7" tint="-0.24994659260841701"/>
      </font>
      <fill>
        <patternFill>
          <bgColor theme="7" tint="-0.24994659260841701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9" tint="0.79998168889431442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-0.24994659260841701"/>
        </patternFill>
      </fill>
    </dxf>
    <dxf>
      <font>
        <color theme="7" tint="0.79998168889431442"/>
      </font>
      <fill>
        <patternFill>
          <bgColor theme="7" tint="0.79998168889431442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theme="7" tint="-0.2499465926084170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7" tint="0.79998168889431442"/>
        </patternFill>
      </fill>
    </dxf>
    <dxf>
      <font>
        <color theme="0"/>
      </font>
      <fill>
        <patternFill>
          <bgColor theme="7" tint="-0.24994659260841701"/>
        </patternFill>
      </fill>
    </dxf>
    <dxf>
      <font>
        <color theme="0"/>
      </font>
      <fill>
        <patternFill>
          <bgColor theme="7" tint="-0.24994659260841701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ont>
        <color theme="0"/>
      </font>
      <fill>
        <patternFill>
          <bgColor theme="7" tint="-0.24994659260841701"/>
        </patternFill>
      </fill>
    </dxf>
    <dxf>
      <font>
        <color theme="0"/>
      </font>
      <fill>
        <patternFill>
          <bgColor theme="7" tint="-0.24994659260841701"/>
        </patternFill>
      </fill>
    </dxf>
    <dxf>
      <fill>
        <patternFill>
          <bgColor theme="7" tint="0.79998168889431442"/>
        </patternFill>
      </fill>
    </dxf>
    <dxf>
      <font>
        <color theme="0"/>
      </font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theme="7" tint="0.79998168889431442"/>
        </patternFill>
      </fill>
    </dxf>
    <dxf>
      <font>
        <color theme="0"/>
      </font>
      <fill>
        <patternFill>
          <bgColor theme="7" tint="-0.24994659260841701"/>
        </patternFill>
      </fill>
    </dxf>
    <dxf>
      <font>
        <color theme="0"/>
      </font>
      <fill>
        <patternFill>
          <bgColor theme="7" tint="-0.2499465926084170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ont>
        <color theme="0"/>
      </font>
      <fill>
        <patternFill>
          <bgColor theme="9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ont>
        <color theme="0"/>
      </font>
      <fill>
        <patternFill>
          <bgColor theme="9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7" tint="0.79998168889431442"/>
        </patternFill>
      </fill>
    </dxf>
    <dxf>
      <font>
        <color theme="0"/>
      </font>
      <fill>
        <patternFill>
          <bgColor theme="7" tint="-0.24994659260841701"/>
        </patternFill>
      </fill>
    </dxf>
    <dxf>
      <font>
        <color theme="0"/>
      </font>
      <fill>
        <patternFill>
          <bgColor theme="7" tint="-0.2499465926084170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ont>
        <color theme="0"/>
      </font>
      <fill>
        <patternFill>
          <bgColor theme="9" tint="-0.24994659260841701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theme="9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ont>
        <color theme="0"/>
      </font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ont>
        <color theme="0"/>
      </font>
      <fill>
        <patternFill>
          <bgColor theme="7" tint="-0.24994659260841701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D3E78-4E41-4C10-90F7-33989365A241}">
  <dimension ref="A1:AA8"/>
  <sheetViews>
    <sheetView showGridLines="0" workbookViewId="0">
      <selection activeCell="S10" sqref="S10"/>
    </sheetView>
  </sheetViews>
  <sheetFormatPr defaultRowHeight="14.5" x14ac:dyDescent="0.35"/>
  <sheetData>
    <row r="1" spans="1:27" ht="47.5" x14ac:dyDescent="1.1000000000000001">
      <c r="A1" s="159" t="s">
        <v>114</v>
      </c>
      <c r="B1" s="159"/>
      <c r="C1" s="159"/>
    </row>
    <row r="2" spans="1:27" ht="21" x14ac:dyDescent="0.5">
      <c r="B2" s="158" t="s">
        <v>118</v>
      </c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8"/>
      <c r="P2" s="158"/>
      <c r="Q2" s="158"/>
      <c r="R2" s="158"/>
      <c r="S2" s="158"/>
      <c r="T2" s="158"/>
      <c r="U2" s="158"/>
      <c r="V2" s="158"/>
      <c r="W2" s="158"/>
      <c r="X2" s="158"/>
      <c r="Y2" s="158"/>
      <c r="Z2" s="158"/>
      <c r="AA2" s="158"/>
    </row>
    <row r="3" spans="1:27" ht="47.5" x14ac:dyDescent="1.1000000000000001">
      <c r="A3" s="159" t="s">
        <v>115</v>
      </c>
      <c r="B3" s="159"/>
      <c r="C3" s="159"/>
    </row>
    <row r="4" spans="1:27" ht="21" x14ac:dyDescent="0.5">
      <c r="B4" s="158" t="s">
        <v>117</v>
      </c>
      <c r="C4" s="158"/>
      <c r="D4" s="158"/>
      <c r="E4" s="158"/>
      <c r="F4" s="158"/>
      <c r="G4" s="158"/>
      <c r="H4" s="158"/>
      <c r="I4" s="158"/>
      <c r="J4" s="158"/>
      <c r="K4" s="158"/>
      <c r="L4" s="158"/>
      <c r="M4" s="158"/>
      <c r="N4" s="158"/>
      <c r="O4" s="158"/>
      <c r="P4" s="158"/>
      <c r="Q4" s="158"/>
      <c r="R4" s="158"/>
      <c r="S4" s="158"/>
      <c r="T4" s="158"/>
      <c r="U4" s="158"/>
      <c r="V4" s="158"/>
      <c r="W4" s="158"/>
      <c r="X4" s="158"/>
      <c r="Y4" s="158"/>
      <c r="Z4" s="158"/>
      <c r="AA4" s="158"/>
    </row>
    <row r="5" spans="1:27" ht="47.5" x14ac:dyDescent="1.1000000000000001">
      <c r="A5" s="159" t="s">
        <v>116</v>
      </c>
      <c r="B5" s="159"/>
      <c r="C5" s="159"/>
    </row>
    <row r="6" spans="1:27" ht="21" x14ac:dyDescent="0.5">
      <c r="B6" s="158" t="s">
        <v>119</v>
      </c>
      <c r="C6" s="158"/>
      <c r="D6" s="158"/>
      <c r="E6" s="158"/>
      <c r="F6" s="158"/>
      <c r="G6" s="158"/>
      <c r="H6" s="158"/>
      <c r="I6" s="158"/>
      <c r="J6" s="158"/>
      <c r="K6" s="158"/>
      <c r="L6" s="158"/>
      <c r="M6" s="158"/>
      <c r="N6" s="158"/>
      <c r="O6" s="158"/>
      <c r="P6" s="158"/>
      <c r="Q6" s="158"/>
      <c r="R6" s="158"/>
      <c r="S6" s="158"/>
      <c r="T6" s="158"/>
      <c r="U6" s="158"/>
      <c r="V6" s="158"/>
      <c r="W6" s="158"/>
      <c r="X6" s="158"/>
      <c r="Y6" s="158"/>
      <c r="Z6" s="158"/>
      <c r="AA6" s="158"/>
    </row>
    <row r="7" spans="1:27" ht="47.5" x14ac:dyDescent="1.1000000000000001">
      <c r="A7" s="159" t="s">
        <v>121</v>
      </c>
      <c r="B7" s="159"/>
      <c r="C7" s="159"/>
    </row>
    <row r="8" spans="1:27" ht="21" x14ac:dyDescent="0.5">
      <c r="B8" s="158" t="s">
        <v>120</v>
      </c>
      <c r="C8" s="158"/>
      <c r="D8" s="158"/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/>
      <c r="U8" s="158"/>
      <c r="V8" s="158"/>
      <c r="W8" s="158"/>
      <c r="X8" s="158"/>
      <c r="Y8" s="158"/>
      <c r="Z8" s="158"/>
      <c r="AA8" s="158"/>
    </row>
  </sheetData>
  <sheetProtection sheet="1" objects="1" scenarios="1" selectLockedCells="1"/>
  <mergeCells count="8">
    <mergeCell ref="B8:AA8"/>
    <mergeCell ref="B4:AA4"/>
    <mergeCell ref="A1:C1"/>
    <mergeCell ref="A3:C3"/>
    <mergeCell ref="A5:C5"/>
    <mergeCell ref="A7:C7"/>
    <mergeCell ref="B2:AA2"/>
    <mergeCell ref="B6:AA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10345-DAD5-4401-A5D8-C6647E9ACC09}">
  <dimension ref="A1:Z10"/>
  <sheetViews>
    <sheetView showGridLines="0" workbookViewId="0">
      <selection activeCell="B10" sqref="B10:Z10"/>
    </sheetView>
  </sheetViews>
  <sheetFormatPr defaultRowHeight="14.5" x14ac:dyDescent="0.35"/>
  <sheetData>
    <row r="1" spans="1:26" ht="37" x14ac:dyDescent="0.85">
      <c r="A1" s="161" t="s">
        <v>163</v>
      </c>
      <c r="B1" s="161"/>
      <c r="C1" s="161"/>
      <c r="D1" s="161"/>
    </row>
    <row r="2" spans="1:26" ht="18.5" x14ac:dyDescent="0.35">
      <c r="B2" s="160" t="s">
        <v>168</v>
      </c>
      <c r="C2" s="160"/>
      <c r="D2" s="160"/>
      <c r="E2" s="160"/>
      <c r="F2" s="160"/>
      <c r="G2" s="160"/>
      <c r="H2" s="160"/>
      <c r="I2" s="160"/>
      <c r="J2" s="160"/>
      <c r="K2" s="160"/>
      <c r="L2" s="160"/>
      <c r="M2" s="160"/>
      <c r="N2" s="160"/>
      <c r="O2" s="160"/>
      <c r="P2" s="160"/>
      <c r="Q2" s="160"/>
      <c r="R2" s="160"/>
      <c r="S2" s="160"/>
      <c r="T2" s="160"/>
      <c r="U2" s="160"/>
      <c r="V2" s="160"/>
      <c r="W2" s="160"/>
      <c r="X2" s="160"/>
      <c r="Y2" s="160"/>
      <c r="Z2" s="160"/>
    </row>
    <row r="3" spans="1:26" ht="37" x14ac:dyDescent="0.85">
      <c r="A3" s="161" t="s">
        <v>164</v>
      </c>
      <c r="B3" s="161"/>
      <c r="C3" s="161"/>
      <c r="D3" s="161"/>
    </row>
    <row r="4" spans="1:26" ht="18.5" x14ac:dyDescent="0.35">
      <c r="B4" s="160" t="s">
        <v>172</v>
      </c>
      <c r="C4" s="160"/>
      <c r="D4" s="160"/>
      <c r="E4" s="160"/>
      <c r="F4" s="160"/>
      <c r="G4" s="160"/>
      <c r="H4" s="160"/>
      <c r="I4" s="160"/>
      <c r="J4" s="160"/>
      <c r="K4" s="160"/>
      <c r="L4" s="160"/>
      <c r="M4" s="160"/>
      <c r="N4" s="160"/>
      <c r="O4" s="160"/>
      <c r="P4" s="160"/>
      <c r="Q4" s="160"/>
      <c r="R4" s="160"/>
      <c r="S4" s="160"/>
      <c r="T4" s="160"/>
      <c r="U4" s="160"/>
      <c r="V4" s="160"/>
      <c r="W4" s="160"/>
      <c r="X4" s="160"/>
      <c r="Y4" s="160"/>
      <c r="Z4" s="160"/>
    </row>
    <row r="5" spans="1:26" ht="37" x14ac:dyDescent="0.85">
      <c r="A5" s="161" t="s">
        <v>165</v>
      </c>
      <c r="B5" s="161"/>
      <c r="C5" s="161"/>
      <c r="D5" s="161"/>
    </row>
    <row r="6" spans="1:26" ht="18.5" x14ac:dyDescent="0.35">
      <c r="B6" s="160" t="s">
        <v>171</v>
      </c>
      <c r="C6" s="160"/>
      <c r="D6" s="160"/>
      <c r="E6" s="160"/>
      <c r="F6" s="160"/>
      <c r="G6" s="160"/>
      <c r="H6" s="160"/>
      <c r="I6" s="160"/>
      <c r="J6" s="160"/>
      <c r="K6" s="160"/>
      <c r="L6" s="160"/>
      <c r="M6" s="160"/>
      <c r="N6" s="160"/>
      <c r="O6" s="160"/>
      <c r="P6" s="160"/>
      <c r="Q6" s="160"/>
      <c r="R6" s="160"/>
      <c r="S6" s="160"/>
      <c r="T6" s="160"/>
      <c r="U6" s="160"/>
      <c r="V6" s="160"/>
      <c r="W6" s="160"/>
      <c r="X6" s="160"/>
      <c r="Y6" s="160"/>
      <c r="Z6" s="160"/>
    </row>
    <row r="7" spans="1:26" ht="37" x14ac:dyDescent="0.85">
      <c r="A7" s="161" t="s">
        <v>166</v>
      </c>
      <c r="B7" s="161"/>
      <c r="C7" s="161"/>
      <c r="D7" s="161"/>
    </row>
    <row r="8" spans="1:26" ht="18.5" x14ac:dyDescent="0.35">
      <c r="B8" s="160" t="s">
        <v>169</v>
      </c>
      <c r="C8" s="160"/>
      <c r="D8" s="160"/>
      <c r="E8" s="160"/>
      <c r="F8" s="160"/>
      <c r="G8" s="160"/>
      <c r="H8" s="160"/>
      <c r="I8" s="160"/>
      <c r="J8" s="160"/>
      <c r="K8" s="160"/>
      <c r="L8" s="160"/>
      <c r="M8" s="160"/>
      <c r="N8" s="160"/>
      <c r="O8" s="160"/>
      <c r="P8" s="160"/>
      <c r="Q8" s="160"/>
      <c r="R8" s="160"/>
      <c r="S8" s="160"/>
      <c r="T8" s="160"/>
      <c r="U8" s="160"/>
      <c r="V8" s="160"/>
      <c r="W8" s="160"/>
      <c r="X8" s="160"/>
      <c r="Y8" s="160"/>
      <c r="Z8" s="160"/>
    </row>
    <row r="9" spans="1:26" ht="37" x14ac:dyDescent="0.85">
      <c r="A9" s="161" t="s">
        <v>167</v>
      </c>
      <c r="B9" s="161"/>
      <c r="C9" s="161"/>
      <c r="D9" s="161"/>
    </row>
    <row r="10" spans="1:26" ht="18.5" x14ac:dyDescent="0.35">
      <c r="B10" s="160" t="s">
        <v>170</v>
      </c>
      <c r="C10" s="160"/>
      <c r="D10" s="160"/>
      <c r="E10" s="160"/>
      <c r="F10" s="160"/>
      <c r="G10" s="160"/>
      <c r="H10" s="160"/>
      <c r="I10" s="160"/>
      <c r="J10" s="160"/>
      <c r="K10" s="160"/>
      <c r="L10" s="160"/>
      <c r="M10" s="160"/>
      <c r="N10" s="160"/>
      <c r="O10" s="160"/>
      <c r="P10" s="160"/>
      <c r="Q10" s="160"/>
      <c r="R10" s="160"/>
      <c r="S10" s="160"/>
      <c r="T10" s="160"/>
      <c r="U10" s="160"/>
      <c r="V10" s="160"/>
      <c r="W10" s="160"/>
      <c r="X10" s="160"/>
      <c r="Y10" s="160"/>
      <c r="Z10" s="160"/>
    </row>
  </sheetData>
  <sheetProtection sheet="1" objects="1" scenarios="1" selectLockedCells="1"/>
  <mergeCells count="10">
    <mergeCell ref="B10:Z10"/>
    <mergeCell ref="A1:D1"/>
    <mergeCell ref="A3:D3"/>
    <mergeCell ref="A5:D5"/>
    <mergeCell ref="A7:D7"/>
    <mergeCell ref="A9:D9"/>
    <mergeCell ref="B2:Z2"/>
    <mergeCell ref="B4:Z4"/>
    <mergeCell ref="B6:Z6"/>
    <mergeCell ref="B8:Z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0F77D-7B97-4203-9A9D-0B1571474C5B}">
  <dimension ref="A1:P15"/>
  <sheetViews>
    <sheetView showGridLines="0" workbookViewId="0">
      <selection activeCell="L1" sqref="L1"/>
    </sheetView>
  </sheetViews>
  <sheetFormatPr defaultColWidth="15.7265625" defaultRowHeight="18.5" x14ac:dyDescent="0.35"/>
  <cols>
    <col min="1" max="1" width="4.7265625" style="1" customWidth="1"/>
    <col min="2" max="2" width="15.7265625" style="3"/>
    <col min="3" max="10" width="15.7265625" style="1"/>
    <col min="11" max="11" width="4.7265625" style="1" customWidth="1"/>
    <col min="12" max="16384" width="15.7265625" style="1"/>
  </cols>
  <sheetData>
    <row r="1" spans="1:16" ht="14.5" x14ac:dyDescent="0.35">
      <c r="A1" s="5"/>
      <c r="B1" s="5"/>
      <c r="C1" s="5"/>
      <c r="D1" s="5"/>
      <c r="E1" s="5"/>
      <c r="F1" s="5"/>
      <c r="G1" s="5"/>
      <c r="H1" s="5"/>
      <c r="I1" s="5"/>
      <c r="J1" s="5"/>
      <c r="K1" s="5"/>
    </row>
    <row r="2" spans="1:16" ht="14.5" x14ac:dyDescent="0.35">
      <c r="A2" s="163" t="s">
        <v>56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</row>
    <row r="3" spans="1:16" ht="14.5" x14ac:dyDescent="0.35">
      <c r="A3" s="163"/>
      <c r="B3" s="163"/>
      <c r="C3" s="163"/>
      <c r="D3" s="163"/>
      <c r="E3" s="163"/>
      <c r="F3" s="163"/>
      <c r="G3" s="163"/>
      <c r="H3" s="163"/>
      <c r="I3" s="163"/>
      <c r="J3" s="163"/>
      <c r="K3" s="163"/>
    </row>
    <row r="4" spans="1:16" ht="15" thickBot="1" x14ac:dyDescent="0.4">
      <c r="A4" s="5"/>
      <c r="B4" s="5"/>
      <c r="C4" s="5"/>
      <c r="D4" s="5"/>
      <c r="E4" s="5"/>
      <c r="F4" s="5"/>
      <c r="G4" s="5"/>
      <c r="H4" s="5"/>
      <c r="I4" s="5"/>
      <c r="J4" s="5"/>
      <c r="K4" s="5"/>
    </row>
    <row r="5" spans="1:16" s="3" customFormat="1" ht="19.5" thickTop="1" thickBot="1" x14ac:dyDescent="0.4">
      <c r="A5" s="5"/>
      <c r="B5" s="5"/>
      <c r="C5" s="162" t="s">
        <v>0</v>
      </c>
      <c r="D5" s="162"/>
      <c r="E5" s="162" t="s">
        <v>1</v>
      </c>
      <c r="F5" s="162"/>
      <c r="G5" s="162" t="s">
        <v>2</v>
      </c>
      <c r="H5" s="162"/>
      <c r="I5" s="162" t="s">
        <v>3</v>
      </c>
      <c r="J5" s="162"/>
      <c r="K5" s="5"/>
      <c r="M5" s="1"/>
      <c r="N5" s="1"/>
      <c r="O5" s="1"/>
      <c r="P5" s="1"/>
    </row>
    <row r="6" spans="1:16" s="4" customFormat="1" ht="17" thickTop="1" thickBot="1" x14ac:dyDescent="0.4">
      <c r="A6" s="5"/>
      <c r="B6" s="5"/>
      <c r="C6" s="7" t="s">
        <v>52</v>
      </c>
      <c r="D6" s="6" t="s">
        <v>53</v>
      </c>
      <c r="E6" s="7" t="s">
        <v>52</v>
      </c>
      <c r="F6" s="6" t="s">
        <v>53</v>
      </c>
      <c r="G6" s="7" t="s">
        <v>54</v>
      </c>
      <c r="H6" s="6" t="s">
        <v>55</v>
      </c>
      <c r="I6" s="7" t="s">
        <v>54</v>
      </c>
      <c r="J6" s="6" t="s">
        <v>55</v>
      </c>
      <c r="K6" s="5"/>
    </row>
    <row r="7" spans="1:16" ht="19.5" thickTop="1" thickBot="1" x14ac:dyDescent="0.4">
      <c r="A7" s="5"/>
      <c r="B7" s="8" t="s">
        <v>48</v>
      </c>
      <c r="C7" s="2">
        <v>0.1</v>
      </c>
      <c r="D7" s="2">
        <v>0.05</v>
      </c>
      <c r="E7" s="2">
        <v>95</v>
      </c>
      <c r="F7" s="2">
        <v>99</v>
      </c>
      <c r="G7" s="2">
        <v>1.5</v>
      </c>
      <c r="H7" s="2">
        <v>2</v>
      </c>
      <c r="I7" s="2">
        <v>95</v>
      </c>
      <c r="J7" s="2">
        <v>100</v>
      </c>
      <c r="K7" s="5"/>
    </row>
    <row r="8" spans="1:16" ht="19.5" thickTop="1" thickBot="1" x14ac:dyDescent="0.4">
      <c r="A8" s="5"/>
      <c r="B8" s="8" t="s">
        <v>5</v>
      </c>
      <c r="C8" s="2">
        <v>95</v>
      </c>
      <c r="D8" s="2">
        <v>100</v>
      </c>
      <c r="E8" s="2">
        <v>1</v>
      </c>
      <c r="F8" s="2">
        <v>0.5</v>
      </c>
      <c r="G8" s="2">
        <v>2</v>
      </c>
      <c r="H8" s="2">
        <v>0</v>
      </c>
      <c r="I8" s="5"/>
      <c r="J8" s="5"/>
      <c r="K8" s="5"/>
    </row>
    <row r="9" spans="1:16" ht="19.5" thickTop="1" thickBot="1" x14ac:dyDescent="0.4">
      <c r="A9" s="5"/>
      <c r="B9" s="11" t="s">
        <v>6</v>
      </c>
      <c r="C9" s="5"/>
      <c r="D9" s="5"/>
      <c r="E9" s="2">
        <v>95</v>
      </c>
      <c r="F9" s="2">
        <v>100</v>
      </c>
      <c r="G9" s="5"/>
      <c r="H9" s="5"/>
      <c r="I9" s="5"/>
      <c r="J9" s="5"/>
      <c r="K9" s="5"/>
    </row>
    <row r="10" spans="1:16" ht="15.5" thickTop="1" thickBot="1" x14ac:dyDescent="0.4">
      <c r="A10" s="5"/>
      <c r="B10" s="5"/>
      <c r="C10" s="9" t="s">
        <v>51</v>
      </c>
      <c r="D10" s="5"/>
      <c r="E10" s="9" t="s">
        <v>51</v>
      </c>
      <c r="F10" s="5"/>
      <c r="G10" s="9" t="s">
        <v>51</v>
      </c>
      <c r="H10" s="5"/>
      <c r="I10" s="9" t="s">
        <v>51</v>
      </c>
      <c r="J10" s="5"/>
      <c r="K10" s="5"/>
    </row>
    <row r="11" spans="1:16" ht="19.5" thickTop="1" thickBot="1" x14ac:dyDescent="0.4">
      <c r="A11" s="5"/>
      <c r="B11" s="8" t="s">
        <v>5</v>
      </c>
      <c r="C11" s="5"/>
      <c r="D11" s="5"/>
      <c r="E11" s="5"/>
      <c r="F11" s="5"/>
      <c r="G11" s="5"/>
      <c r="H11" s="5"/>
      <c r="I11" s="2">
        <v>0</v>
      </c>
      <c r="J11" s="5"/>
      <c r="K11" s="5"/>
    </row>
    <row r="12" spans="1:16" ht="19.5" thickTop="1" thickBot="1" x14ac:dyDescent="0.4">
      <c r="A12" s="5"/>
      <c r="B12" s="8" t="s">
        <v>6</v>
      </c>
      <c r="C12" s="2">
        <v>1</v>
      </c>
      <c r="D12" s="5"/>
      <c r="E12" s="5"/>
      <c r="F12" s="5"/>
      <c r="G12" s="2">
        <v>1</v>
      </c>
      <c r="H12" s="5"/>
      <c r="I12" s="2">
        <v>1</v>
      </c>
      <c r="J12" s="5"/>
      <c r="K12" s="5"/>
    </row>
    <row r="13" spans="1:16" ht="19.5" thickTop="1" thickBot="1" x14ac:dyDescent="0.4">
      <c r="A13" s="5"/>
      <c r="B13" s="8" t="s">
        <v>49</v>
      </c>
      <c r="C13" s="2">
        <v>2</v>
      </c>
      <c r="D13" s="5"/>
      <c r="E13" s="2">
        <v>2</v>
      </c>
      <c r="F13" s="5"/>
      <c r="G13" s="2">
        <v>1</v>
      </c>
      <c r="H13" s="5"/>
      <c r="I13" s="2">
        <v>1</v>
      </c>
      <c r="J13" s="5"/>
      <c r="K13" s="5"/>
    </row>
    <row r="14" spans="1:16" ht="19.5" thickTop="1" thickBot="1" x14ac:dyDescent="0.4">
      <c r="A14" s="5"/>
      <c r="B14" s="8" t="s">
        <v>50</v>
      </c>
      <c r="C14" s="2">
        <v>1</v>
      </c>
      <c r="D14" s="5"/>
      <c r="E14" s="2">
        <v>1</v>
      </c>
      <c r="F14" s="5"/>
      <c r="G14" s="5"/>
      <c r="H14" s="5"/>
      <c r="I14" s="2">
        <v>1</v>
      </c>
      <c r="J14" s="5"/>
      <c r="K14" s="5"/>
    </row>
    <row r="15" spans="1:16" ht="15" thickTop="1" x14ac:dyDescent="0.3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</row>
  </sheetData>
  <sheetProtection sheet="1" objects="1" scenarios="1" selectLockedCells="1"/>
  <mergeCells count="5">
    <mergeCell ref="C5:D5"/>
    <mergeCell ref="E5:F5"/>
    <mergeCell ref="G5:H5"/>
    <mergeCell ref="I5:J5"/>
    <mergeCell ref="A2:K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06EDF-0945-47FC-9DF0-3F39E93A76CA}">
  <dimension ref="A1:AB134"/>
  <sheetViews>
    <sheetView showGridLines="0" tabSelected="1" zoomScaleNormal="100" workbookViewId="0">
      <selection activeCell="G10" sqref="G10:Z10"/>
    </sheetView>
  </sheetViews>
  <sheetFormatPr defaultRowHeight="14.5" x14ac:dyDescent="0.35"/>
  <sheetData>
    <row r="1" spans="1:28" ht="47.5" x14ac:dyDescent="1.1000000000000001">
      <c r="A1" s="186" t="s">
        <v>43</v>
      </c>
      <c r="B1" s="186"/>
      <c r="C1" s="186"/>
      <c r="D1" s="186"/>
      <c r="E1" s="81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</row>
    <row r="2" spans="1:28" ht="36" x14ac:dyDescent="0.8">
      <c r="A2" s="82"/>
      <c r="B2" s="191" t="s">
        <v>93</v>
      </c>
      <c r="C2" s="191"/>
      <c r="D2" s="191"/>
      <c r="E2" s="191"/>
      <c r="F2" s="191"/>
      <c r="G2" s="191"/>
      <c r="H2" s="191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  <c r="AA2" s="82"/>
      <c r="AB2" s="82"/>
    </row>
    <row r="3" spans="1:28" ht="18" customHeight="1" x14ac:dyDescent="0.8">
      <c r="A3" s="82"/>
      <c r="B3" s="83"/>
      <c r="C3" s="197" t="s">
        <v>95</v>
      </c>
      <c r="D3" s="197"/>
      <c r="E3" s="197"/>
      <c r="F3" s="197"/>
      <c r="G3" s="197"/>
      <c r="H3" s="197"/>
      <c r="I3" s="197"/>
      <c r="J3" s="197"/>
      <c r="K3" s="197"/>
      <c r="L3" s="197"/>
      <c r="M3" s="197"/>
      <c r="N3" s="197"/>
      <c r="O3" s="197"/>
      <c r="P3" s="197"/>
      <c r="Q3" s="197"/>
      <c r="R3" s="197"/>
      <c r="S3" s="197"/>
      <c r="T3" s="197"/>
      <c r="U3" s="197"/>
      <c r="V3" s="197"/>
      <c r="W3" s="197"/>
      <c r="X3" s="197"/>
      <c r="Y3" s="197"/>
      <c r="Z3" s="197"/>
      <c r="AA3" s="197"/>
      <c r="AB3" s="197"/>
    </row>
    <row r="4" spans="1:28" ht="18.5" x14ac:dyDescent="0.35">
      <c r="A4" s="82"/>
      <c r="B4" s="82"/>
      <c r="C4" s="198" t="s">
        <v>87</v>
      </c>
      <c r="D4" s="198"/>
      <c r="E4" s="198"/>
      <c r="F4" s="198"/>
      <c r="G4" s="198"/>
      <c r="H4" s="198"/>
      <c r="I4" s="198"/>
      <c r="J4" s="198"/>
      <c r="K4" s="198"/>
      <c r="L4" s="198"/>
      <c r="M4" s="198"/>
      <c r="N4" s="198"/>
      <c r="O4" s="198"/>
      <c r="P4" s="198"/>
      <c r="Q4" s="198"/>
      <c r="R4" s="198"/>
      <c r="S4" s="198"/>
      <c r="T4" s="198"/>
      <c r="U4" s="198"/>
      <c r="V4" s="198"/>
      <c r="W4" s="198"/>
      <c r="X4" s="198"/>
      <c r="Y4" s="198"/>
      <c r="Z4" s="198"/>
      <c r="AA4" s="198"/>
      <c r="AB4" s="198"/>
    </row>
    <row r="5" spans="1:28" ht="18.5" x14ac:dyDescent="0.45">
      <c r="A5" s="82"/>
      <c r="B5" s="82"/>
      <c r="C5" s="199" t="s">
        <v>182</v>
      </c>
      <c r="D5" s="199"/>
      <c r="E5" s="199"/>
      <c r="F5" s="199"/>
      <c r="G5" s="199"/>
      <c r="H5" s="199"/>
      <c r="I5" s="199"/>
      <c r="J5" s="199"/>
      <c r="K5" s="199"/>
      <c r="L5" s="199"/>
      <c r="M5" s="199"/>
      <c r="N5" s="199"/>
      <c r="O5" s="199"/>
      <c r="P5" s="199"/>
      <c r="Q5" s="199"/>
      <c r="R5" s="199"/>
      <c r="S5" s="199"/>
      <c r="T5" s="199"/>
      <c r="U5" s="199"/>
      <c r="V5" s="199"/>
      <c r="W5" s="199"/>
      <c r="X5" s="199"/>
      <c r="Y5" s="199"/>
      <c r="Z5" s="199"/>
      <c r="AA5" s="199"/>
      <c r="AB5" s="199"/>
    </row>
    <row r="6" spans="1:28" ht="31" x14ac:dyDescent="0.7">
      <c r="A6" s="82"/>
      <c r="B6" s="82"/>
      <c r="C6" s="82"/>
      <c r="D6" s="185" t="s">
        <v>48</v>
      </c>
      <c r="E6" s="185"/>
      <c r="F6" s="185"/>
      <c r="G6" s="82"/>
      <c r="H6" s="82"/>
      <c r="I6" s="82"/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</row>
    <row r="7" spans="1:28" ht="18.5" x14ac:dyDescent="0.45">
      <c r="A7" s="82"/>
      <c r="B7" s="82"/>
      <c r="C7" s="82"/>
      <c r="D7" s="82"/>
      <c r="E7" s="189" t="s">
        <v>88</v>
      </c>
      <c r="F7" s="189"/>
      <c r="G7" s="189"/>
      <c r="H7" s="189"/>
      <c r="I7" s="189"/>
      <c r="J7" s="189"/>
      <c r="K7" s="189"/>
      <c r="L7" s="189"/>
      <c r="M7" s="189"/>
      <c r="N7" s="189"/>
      <c r="O7" s="189"/>
      <c r="P7" s="189"/>
      <c r="Q7" s="189"/>
      <c r="R7" s="189"/>
      <c r="S7" s="189"/>
      <c r="T7" s="189"/>
      <c r="U7" s="189"/>
      <c r="V7" s="189"/>
      <c r="W7" s="189"/>
      <c r="X7" s="189"/>
      <c r="Y7" s="189"/>
      <c r="Z7" s="189"/>
      <c r="AA7" s="189"/>
      <c r="AB7" s="189"/>
    </row>
    <row r="8" spans="1:28" ht="26" x14ac:dyDescent="0.6">
      <c r="A8" s="82"/>
      <c r="B8" s="82"/>
      <c r="C8" s="82"/>
      <c r="D8" s="82"/>
      <c r="E8" s="84"/>
      <c r="F8" s="165" t="s">
        <v>127</v>
      </c>
      <c r="G8" s="165"/>
      <c r="H8" s="165"/>
      <c r="I8" s="165"/>
      <c r="J8" s="165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  <c r="AA8" s="78"/>
      <c r="AB8" s="78"/>
    </row>
    <row r="9" spans="1:28" ht="26" x14ac:dyDescent="0.6">
      <c r="A9" s="82"/>
      <c r="B9" s="82"/>
      <c r="C9" s="82"/>
      <c r="D9" s="82"/>
      <c r="E9" s="84"/>
      <c r="F9" s="79"/>
      <c r="G9" s="183" t="s">
        <v>122</v>
      </c>
      <c r="H9" s="183"/>
      <c r="I9" s="183"/>
      <c r="J9" s="183"/>
      <c r="K9" s="183"/>
      <c r="L9" s="183"/>
      <c r="M9" s="183"/>
      <c r="N9" s="183"/>
      <c r="O9" s="183"/>
      <c r="P9" s="183"/>
      <c r="Q9" s="183"/>
      <c r="R9" s="183"/>
      <c r="S9" s="183"/>
      <c r="T9" s="183"/>
      <c r="U9" s="183"/>
      <c r="V9" s="183"/>
      <c r="W9" s="183"/>
      <c r="X9" s="183"/>
      <c r="Y9" s="183"/>
      <c r="Z9" s="183"/>
      <c r="AA9" s="78"/>
      <c r="AB9" s="78"/>
    </row>
    <row r="10" spans="1:28" ht="26" x14ac:dyDescent="0.6">
      <c r="A10" s="82"/>
      <c r="B10" s="82"/>
      <c r="C10" s="82"/>
      <c r="D10" s="82"/>
      <c r="E10" s="84"/>
      <c r="F10" s="79"/>
      <c r="G10" s="164" t="s">
        <v>123</v>
      </c>
      <c r="H10" s="164"/>
      <c r="I10" s="164"/>
      <c r="J10" s="164"/>
      <c r="K10" s="164"/>
      <c r="L10" s="164"/>
      <c r="M10" s="164"/>
      <c r="N10" s="164"/>
      <c r="O10" s="164"/>
      <c r="P10" s="164"/>
      <c r="Q10" s="164"/>
      <c r="R10" s="164"/>
      <c r="S10" s="164"/>
      <c r="T10" s="164"/>
      <c r="U10" s="164"/>
      <c r="V10" s="164"/>
      <c r="W10" s="164"/>
      <c r="X10" s="164"/>
      <c r="Y10" s="164"/>
      <c r="Z10" s="164"/>
      <c r="AA10" s="78"/>
      <c r="AB10" s="78"/>
    </row>
    <row r="11" spans="1:28" ht="26" x14ac:dyDescent="0.6">
      <c r="A11" s="82"/>
      <c r="B11" s="82"/>
      <c r="C11" s="82"/>
      <c r="D11" s="82"/>
      <c r="E11" s="84"/>
      <c r="F11" s="79"/>
      <c r="G11" s="164" t="s">
        <v>128</v>
      </c>
      <c r="H11" s="164"/>
      <c r="I11" s="164"/>
      <c r="J11" s="164"/>
      <c r="K11" s="164"/>
      <c r="L11" s="164"/>
      <c r="M11" s="164"/>
      <c r="N11" s="164"/>
      <c r="O11" s="164"/>
      <c r="P11" s="164"/>
      <c r="Q11" s="164"/>
      <c r="R11" s="164"/>
      <c r="S11" s="164"/>
      <c r="T11" s="164"/>
      <c r="U11" s="164"/>
      <c r="V11" s="164"/>
      <c r="W11" s="164"/>
      <c r="X11" s="164"/>
      <c r="Y11" s="164"/>
      <c r="Z11" s="164"/>
      <c r="AA11" s="78"/>
      <c r="AB11" s="78"/>
    </row>
    <row r="12" spans="1:28" ht="31" x14ac:dyDescent="0.7">
      <c r="A12" s="82"/>
      <c r="B12" s="82"/>
      <c r="C12" s="82"/>
      <c r="D12" s="185" t="s">
        <v>5</v>
      </c>
      <c r="E12" s="185"/>
      <c r="F12" s="185"/>
      <c r="G12" s="82"/>
      <c r="H12" s="82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</row>
    <row r="13" spans="1:28" ht="18.5" x14ac:dyDescent="0.45">
      <c r="A13" s="82"/>
      <c r="B13" s="82"/>
      <c r="C13" s="82"/>
      <c r="D13" s="82"/>
      <c r="E13" s="189" t="s">
        <v>89</v>
      </c>
      <c r="F13" s="189"/>
      <c r="G13" s="189"/>
      <c r="H13" s="189"/>
      <c r="I13" s="189"/>
      <c r="J13" s="189"/>
      <c r="K13" s="189"/>
      <c r="L13" s="189"/>
      <c r="M13" s="189"/>
      <c r="N13" s="189"/>
      <c r="O13" s="189"/>
      <c r="P13" s="189"/>
      <c r="Q13" s="189"/>
      <c r="R13" s="189"/>
      <c r="S13" s="189"/>
      <c r="T13" s="189"/>
      <c r="U13" s="189"/>
      <c r="V13" s="189"/>
      <c r="W13" s="189"/>
      <c r="X13" s="189"/>
      <c r="Y13" s="189"/>
      <c r="Z13" s="189"/>
      <c r="AA13" s="189"/>
      <c r="AB13" s="189"/>
    </row>
    <row r="14" spans="1:28" ht="26" x14ac:dyDescent="0.6">
      <c r="A14" s="82"/>
      <c r="B14" s="82"/>
      <c r="C14" s="82"/>
      <c r="D14" s="82"/>
      <c r="E14" s="84"/>
      <c r="F14" s="165" t="s">
        <v>127</v>
      </c>
      <c r="G14" s="165"/>
      <c r="H14" s="165"/>
      <c r="I14" s="165"/>
      <c r="J14" s="165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  <c r="AA14" s="78"/>
      <c r="AB14" s="78"/>
    </row>
    <row r="15" spans="1:28" ht="26" x14ac:dyDescent="0.6">
      <c r="A15" s="82"/>
      <c r="B15" s="82"/>
      <c r="C15" s="82"/>
      <c r="D15" s="82"/>
      <c r="E15" s="84"/>
      <c r="F15" s="79"/>
      <c r="G15" s="183" t="s">
        <v>122</v>
      </c>
      <c r="H15" s="183"/>
      <c r="I15" s="183"/>
      <c r="J15" s="183"/>
      <c r="K15" s="183"/>
      <c r="L15" s="183"/>
      <c r="M15" s="183"/>
      <c r="N15" s="183"/>
      <c r="O15" s="183"/>
      <c r="P15" s="183"/>
      <c r="Q15" s="183"/>
      <c r="R15" s="183"/>
      <c r="S15" s="183"/>
      <c r="T15" s="183"/>
      <c r="U15" s="183"/>
      <c r="V15" s="183"/>
      <c r="W15" s="183"/>
      <c r="X15" s="183"/>
      <c r="Y15" s="183"/>
      <c r="Z15" s="183"/>
      <c r="AA15" s="78"/>
      <c r="AB15" s="78"/>
    </row>
    <row r="16" spans="1:28" ht="26" x14ac:dyDescent="0.6">
      <c r="A16" s="82"/>
      <c r="B16" s="82"/>
      <c r="C16" s="82"/>
      <c r="D16" s="82"/>
      <c r="E16" s="84"/>
      <c r="F16" s="79"/>
      <c r="G16" s="164" t="s">
        <v>123</v>
      </c>
      <c r="H16" s="164"/>
      <c r="I16" s="164"/>
      <c r="J16" s="164"/>
      <c r="K16" s="164"/>
      <c r="L16" s="164"/>
      <c r="M16" s="164"/>
      <c r="N16" s="164"/>
      <c r="O16" s="164"/>
      <c r="P16" s="164"/>
      <c r="Q16" s="164"/>
      <c r="R16" s="164"/>
      <c r="S16" s="164"/>
      <c r="T16" s="164"/>
      <c r="U16" s="164"/>
      <c r="V16" s="164"/>
      <c r="W16" s="164"/>
      <c r="X16" s="164"/>
      <c r="Y16" s="164"/>
      <c r="Z16" s="164"/>
      <c r="AA16" s="78"/>
      <c r="AB16" s="78"/>
    </row>
    <row r="17" spans="1:28" ht="26" x14ac:dyDescent="0.6">
      <c r="A17" s="82"/>
      <c r="B17" s="82"/>
      <c r="C17" s="82"/>
      <c r="D17" s="82"/>
      <c r="E17" s="84"/>
      <c r="F17" s="79"/>
      <c r="G17" s="164" t="s">
        <v>129</v>
      </c>
      <c r="H17" s="164"/>
      <c r="I17" s="164"/>
      <c r="J17" s="164"/>
      <c r="K17" s="164"/>
      <c r="L17" s="164"/>
      <c r="M17" s="164"/>
      <c r="N17" s="164"/>
      <c r="O17" s="164"/>
      <c r="P17" s="164"/>
      <c r="Q17" s="164"/>
      <c r="R17" s="164"/>
      <c r="S17" s="164"/>
      <c r="T17" s="164"/>
      <c r="U17" s="164"/>
      <c r="V17" s="164"/>
      <c r="W17" s="164"/>
      <c r="X17" s="164"/>
      <c r="Y17" s="164"/>
      <c r="Z17" s="164"/>
      <c r="AA17" s="78"/>
      <c r="AB17" s="78"/>
    </row>
    <row r="18" spans="1:28" ht="31" x14ac:dyDescent="0.7">
      <c r="A18" s="82"/>
      <c r="B18" s="82"/>
      <c r="C18" s="82"/>
      <c r="D18" s="185" t="s">
        <v>6</v>
      </c>
      <c r="E18" s="185"/>
      <c r="F18" s="185"/>
      <c r="G18" s="82"/>
      <c r="H18" s="82"/>
      <c r="I18" s="82"/>
      <c r="J18" s="82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</row>
    <row r="19" spans="1:28" ht="18.5" x14ac:dyDescent="0.35">
      <c r="A19" s="82"/>
      <c r="B19" s="82"/>
      <c r="C19" s="82"/>
      <c r="D19" s="82"/>
      <c r="E19" s="184" t="s">
        <v>90</v>
      </c>
      <c r="F19" s="184"/>
      <c r="G19" s="184"/>
      <c r="H19" s="184"/>
      <c r="I19" s="184"/>
      <c r="J19" s="184"/>
      <c r="K19" s="184"/>
      <c r="L19" s="184"/>
      <c r="M19" s="184"/>
      <c r="N19" s="184"/>
      <c r="O19" s="184"/>
      <c r="P19" s="184"/>
      <c r="Q19" s="184"/>
      <c r="R19" s="184"/>
      <c r="S19" s="184"/>
      <c r="T19" s="184"/>
      <c r="U19" s="184"/>
      <c r="V19" s="184"/>
      <c r="W19" s="184"/>
      <c r="X19" s="184"/>
      <c r="Y19" s="184"/>
      <c r="Z19" s="184"/>
      <c r="AA19" s="184"/>
      <c r="AB19" s="184"/>
    </row>
    <row r="20" spans="1:28" ht="26" x14ac:dyDescent="0.6">
      <c r="A20" s="82"/>
      <c r="B20" s="82"/>
      <c r="C20" s="82"/>
      <c r="D20" s="82"/>
      <c r="E20" s="85"/>
      <c r="F20" s="165" t="s">
        <v>127</v>
      </c>
      <c r="G20" s="165"/>
      <c r="H20" s="165"/>
      <c r="I20" s="165"/>
      <c r="J20" s="165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  <c r="AA20" s="78"/>
      <c r="AB20" s="78"/>
    </row>
    <row r="21" spans="1:28" ht="26" x14ac:dyDescent="0.6">
      <c r="A21" s="82"/>
      <c r="B21" s="82"/>
      <c r="C21" s="82"/>
      <c r="D21" s="82"/>
      <c r="E21" s="85"/>
      <c r="F21" s="79"/>
      <c r="G21" s="164" t="s">
        <v>124</v>
      </c>
      <c r="H21" s="164"/>
      <c r="I21" s="164"/>
      <c r="J21" s="164"/>
      <c r="K21" s="164"/>
      <c r="L21" s="164"/>
      <c r="M21" s="164"/>
      <c r="N21" s="164"/>
      <c r="O21" s="164"/>
      <c r="P21" s="164"/>
      <c r="Q21" s="164"/>
      <c r="R21" s="164"/>
      <c r="S21" s="164"/>
      <c r="T21" s="164"/>
      <c r="U21" s="164"/>
      <c r="V21" s="164"/>
      <c r="W21" s="164"/>
      <c r="X21" s="164"/>
      <c r="Y21" s="164"/>
      <c r="Z21" s="164"/>
      <c r="AA21" s="164"/>
      <c r="AB21" s="164"/>
    </row>
    <row r="22" spans="1:28" ht="26" x14ac:dyDescent="0.6">
      <c r="A22" s="82"/>
      <c r="B22" s="82"/>
      <c r="C22" s="82"/>
      <c r="D22" s="82"/>
      <c r="E22" s="85"/>
      <c r="F22" s="79"/>
      <c r="G22" s="164" t="s">
        <v>125</v>
      </c>
      <c r="H22" s="164"/>
      <c r="I22" s="164"/>
      <c r="J22" s="164"/>
      <c r="K22" s="164"/>
      <c r="L22" s="164"/>
      <c r="M22" s="164"/>
      <c r="N22" s="164"/>
      <c r="O22" s="164"/>
      <c r="P22" s="164"/>
      <c r="Q22" s="164"/>
      <c r="R22" s="164"/>
      <c r="S22" s="164"/>
      <c r="T22" s="164"/>
      <c r="U22" s="164"/>
      <c r="V22" s="164"/>
      <c r="W22" s="164"/>
      <c r="X22" s="164"/>
      <c r="Y22" s="164"/>
      <c r="Z22" s="164"/>
      <c r="AA22" s="164"/>
      <c r="AB22" s="164"/>
    </row>
    <row r="23" spans="1:28" ht="26" x14ac:dyDescent="0.6">
      <c r="A23" s="82"/>
      <c r="B23" s="82"/>
      <c r="C23" s="82"/>
      <c r="D23" s="82"/>
      <c r="E23" s="85"/>
      <c r="F23" s="79"/>
      <c r="G23" s="164" t="s">
        <v>130</v>
      </c>
      <c r="H23" s="164"/>
      <c r="I23" s="164"/>
      <c r="J23" s="164"/>
      <c r="K23" s="164"/>
      <c r="L23" s="164"/>
      <c r="M23" s="164"/>
      <c r="N23" s="164"/>
      <c r="O23" s="164"/>
      <c r="P23" s="164"/>
      <c r="Q23" s="164"/>
      <c r="R23" s="164"/>
      <c r="S23" s="164"/>
      <c r="T23" s="164"/>
      <c r="U23" s="164"/>
      <c r="V23" s="164"/>
      <c r="W23" s="164"/>
      <c r="X23" s="164"/>
      <c r="Y23" s="164"/>
      <c r="Z23" s="164"/>
      <c r="AA23" s="164"/>
      <c r="AB23" s="164"/>
    </row>
    <row r="24" spans="1:28" ht="31" x14ac:dyDescent="0.7">
      <c r="A24" s="82"/>
      <c r="B24" s="82"/>
      <c r="C24" s="82"/>
      <c r="D24" s="185" t="s">
        <v>49</v>
      </c>
      <c r="E24" s="185"/>
      <c r="F24" s="185"/>
      <c r="G24" s="82"/>
      <c r="H24" s="82"/>
      <c r="I24" s="82"/>
      <c r="J24" s="82"/>
      <c r="K24" s="82"/>
      <c r="L24" s="82"/>
      <c r="M24" s="82"/>
      <c r="N24" s="82"/>
      <c r="O24" s="82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  <c r="AA24" s="82"/>
      <c r="AB24" s="82"/>
    </row>
    <row r="25" spans="1:28" ht="18.5" x14ac:dyDescent="0.45">
      <c r="A25" s="82"/>
      <c r="B25" s="82"/>
      <c r="C25" s="82"/>
      <c r="D25" s="82"/>
      <c r="E25" s="189" t="s">
        <v>91</v>
      </c>
      <c r="F25" s="189"/>
      <c r="G25" s="189"/>
      <c r="H25" s="189"/>
      <c r="I25" s="189"/>
      <c r="J25" s="189"/>
      <c r="K25" s="189"/>
      <c r="L25" s="189"/>
      <c r="M25" s="189"/>
      <c r="N25" s="189"/>
      <c r="O25" s="189"/>
      <c r="P25" s="189"/>
      <c r="Q25" s="189"/>
      <c r="R25" s="189"/>
      <c r="S25" s="189"/>
      <c r="T25" s="189"/>
      <c r="U25" s="189"/>
      <c r="V25" s="189"/>
      <c r="W25" s="189"/>
      <c r="X25" s="189"/>
      <c r="Y25" s="189"/>
      <c r="Z25" s="189"/>
      <c r="AA25" s="189"/>
      <c r="AB25" s="189"/>
    </row>
    <row r="26" spans="1:28" ht="26" x14ac:dyDescent="0.6">
      <c r="A26" s="82"/>
      <c r="B26" s="82"/>
      <c r="C26" s="82"/>
      <c r="D26" s="82"/>
      <c r="E26" s="84"/>
      <c r="F26" s="165" t="s">
        <v>127</v>
      </c>
      <c r="G26" s="165"/>
      <c r="H26" s="165"/>
      <c r="I26" s="165"/>
      <c r="J26" s="165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  <c r="AA26" s="78"/>
      <c r="AB26" s="78"/>
    </row>
    <row r="27" spans="1:28" ht="26" x14ac:dyDescent="0.6">
      <c r="A27" s="82"/>
      <c r="B27" s="82"/>
      <c r="C27" s="82"/>
      <c r="D27" s="82"/>
      <c r="E27" s="84"/>
      <c r="F27" s="79"/>
      <c r="G27" s="164" t="s">
        <v>126</v>
      </c>
      <c r="H27" s="164"/>
      <c r="I27" s="164"/>
      <c r="J27" s="164"/>
      <c r="K27" s="164"/>
      <c r="L27" s="164"/>
      <c r="M27" s="164"/>
      <c r="N27" s="164"/>
      <c r="O27" s="164"/>
      <c r="P27" s="164"/>
      <c r="Q27" s="164"/>
      <c r="R27" s="164"/>
      <c r="S27" s="164"/>
      <c r="T27" s="164"/>
      <c r="U27" s="164"/>
      <c r="V27" s="164"/>
      <c r="W27" s="164"/>
      <c r="X27" s="164"/>
      <c r="Y27" s="164"/>
      <c r="Z27" s="164"/>
      <c r="AA27" s="78"/>
      <c r="AB27" s="78"/>
    </row>
    <row r="28" spans="1:28" ht="26" x14ac:dyDescent="0.6">
      <c r="A28" s="82"/>
      <c r="B28" s="82"/>
      <c r="C28" s="82"/>
      <c r="D28" s="82"/>
      <c r="E28" s="84"/>
      <c r="F28" s="79"/>
      <c r="G28" s="164" t="s">
        <v>131</v>
      </c>
      <c r="H28" s="164"/>
      <c r="I28" s="164"/>
      <c r="J28" s="164"/>
      <c r="K28" s="164"/>
      <c r="L28" s="164"/>
      <c r="M28" s="164"/>
      <c r="N28" s="164"/>
      <c r="O28" s="164"/>
      <c r="P28" s="164"/>
      <c r="Q28" s="164"/>
      <c r="R28" s="164"/>
      <c r="S28" s="164"/>
      <c r="T28" s="164"/>
      <c r="U28" s="164"/>
      <c r="V28" s="164"/>
      <c r="W28" s="164"/>
      <c r="X28" s="164"/>
      <c r="Y28" s="164"/>
      <c r="Z28" s="164"/>
      <c r="AA28" s="78"/>
      <c r="AB28" s="78"/>
    </row>
    <row r="29" spans="1:28" ht="26" x14ac:dyDescent="0.6">
      <c r="A29" s="82"/>
      <c r="B29" s="82"/>
      <c r="C29" s="82"/>
      <c r="D29" s="82"/>
      <c r="E29" s="84"/>
      <c r="F29" s="79"/>
      <c r="G29" s="164" t="s">
        <v>132</v>
      </c>
      <c r="H29" s="164"/>
      <c r="I29" s="164"/>
      <c r="J29" s="164"/>
      <c r="K29" s="164"/>
      <c r="L29" s="164"/>
      <c r="M29" s="164"/>
      <c r="N29" s="164"/>
      <c r="O29" s="164"/>
      <c r="P29" s="164"/>
      <c r="Q29" s="164"/>
      <c r="R29" s="164"/>
      <c r="S29" s="164"/>
      <c r="T29" s="164"/>
      <c r="U29" s="164"/>
      <c r="V29" s="164"/>
      <c r="W29" s="164"/>
      <c r="X29" s="164"/>
      <c r="Y29" s="164"/>
      <c r="Z29" s="164"/>
      <c r="AA29" s="78"/>
      <c r="AB29" s="78"/>
    </row>
    <row r="30" spans="1:28" ht="31" x14ac:dyDescent="0.7">
      <c r="A30" s="82"/>
      <c r="B30" s="82"/>
      <c r="C30" s="82"/>
      <c r="D30" s="185" t="s">
        <v>50</v>
      </c>
      <c r="E30" s="185"/>
      <c r="F30" s="185"/>
      <c r="G30" s="82"/>
      <c r="H30" s="82"/>
      <c r="I30" s="82"/>
      <c r="J30" s="82"/>
      <c r="K30" s="82"/>
      <c r="L30" s="82"/>
      <c r="M30" s="82"/>
      <c r="N30" s="82"/>
      <c r="O30" s="82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  <c r="AA30" s="82"/>
      <c r="AB30" s="82"/>
    </row>
    <row r="31" spans="1:28" ht="18.5" x14ac:dyDescent="0.35">
      <c r="A31" s="82"/>
      <c r="B31" s="82"/>
      <c r="C31" s="82"/>
      <c r="D31" s="82"/>
      <c r="E31" s="184" t="s">
        <v>92</v>
      </c>
      <c r="F31" s="184"/>
      <c r="G31" s="184"/>
      <c r="H31" s="184"/>
      <c r="I31" s="184"/>
      <c r="J31" s="184"/>
      <c r="K31" s="184"/>
      <c r="L31" s="184"/>
      <c r="M31" s="184"/>
      <c r="N31" s="184"/>
      <c r="O31" s="184"/>
      <c r="P31" s="184"/>
      <c r="Q31" s="184"/>
      <c r="R31" s="184"/>
      <c r="S31" s="184"/>
      <c r="T31" s="184"/>
      <c r="U31" s="184"/>
      <c r="V31" s="184"/>
      <c r="W31" s="184"/>
      <c r="X31" s="184"/>
      <c r="Y31" s="184"/>
      <c r="Z31" s="184"/>
      <c r="AA31" s="184"/>
      <c r="AB31" s="184"/>
    </row>
    <row r="32" spans="1:28" ht="26" x14ac:dyDescent="0.6">
      <c r="A32" s="82"/>
      <c r="B32" s="82"/>
      <c r="C32" s="82"/>
      <c r="D32" s="82"/>
      <c r="E32" s="81"/>
      <c r="F32" s="165" t="s">
        <v>127</v>
      </c>
      <c r="G32" s="165"/>
      <c r="H32" s="165"/>
      <c r="I32" s="165"/>
      <c r="J32" s="165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  <c r="AA32" s="78"/>
      <c r="AB32" s="78"/>
    </row>
    <row r="33" spans="1:28" ht="18.5" x14ac:dyDescent="0.45">
      <c r="A33" s="82"/>
      <c r="B33" s="82"/>
      <c r="C33" s="82"/>
      <c r="D33" s="82"/>
      <c r="E33" s="81"/>
      <c r="F33" s="78"/>
      <c r="G33" s="164" t="s">
        <v>133</v>
      </c>
      <c r="H33" s="164"/>
      <c r="I33" s="164"/>
      <c r="J33" s="164"/>
      <c r="K33" s="164"/>
      <c r="L33" s="164"/>
      <c r="M33" s="164"/>
      <c r="N33" s="164"/>
      <c r="O33" s="164"/>
      <c r="P33" s="164"/>
      <c r="Q33" s="164"/>
      <c r="R33" s="164"/>
      <c r="S33" s="164"/>
      <c r="T33" s="164"/>
      <c r="U33" s="164"/>
      <c r="V33" s="164"/>
      <c r="W33" s="164"/>
      <c r="X33" s="164"/>
      <c r="Y33" s="164"/>
      <c r="Z33" s="164"/>
      <c r="AA33" s="78"/>
      <c r="AB33" s="78"/>
    </row>
    <row r="34" spans="1:28" ht="18.5" x14ac:dyDescent="0.45">
      <c r="A34" s="82"/>
      <c r="B34" s="82"/>
      <c r="C34" s="82"/>
      <c r="D34" s="82"/>
      <c r="E34" s="81"/>
      <c r="F34" s="78"/>
      <c r="G34" s="164" t="s">
        <v>134</v>
      </c>
      <c r="H34" s="164"/>
      <c r="I34" s="164"/>
      <c r="J34" s="164"/>
      <c r="K34" s="164"/>
      <c r="L34" s="164"/>
      <c r="M34" s="164"/>
      <c r="N34" s="164"/>
      <c r="O34" s="164"/>
      <c r="P34" s="164"/>
      <c r="Q34" s="164"/>
      <c r="R34" s="164"/>
      <c r="S34" s="164"/>
      <c r="T34" s="164"/>
      <c r="U34" s="164"/>
      <c r="V34" s="164"/>
      <c r="W34" s="164"/>
      <c r="X34" s="164"/>
      <c r="Y34" s="164"/>
      <c r="Z34" s="164"/>
      <c r="AA34" s="78"/>
      <c r="AB34" s="78"/>
    </row>
    <row r="35" spans="1:28" ht="18.5" x14ac:dyDescent="0.45">
      <c r="A35" s="82"/>
      <c r="B35" s="82"/>
      <c r="C35" s="82"/>
      <c r="D35" s="82"/>
      <c r="E35" s="81"/>
      <c r="F35" s="78"/>
      <c r="G35" s="164" t="s">
        <v>135</v>
      </c>
      <c r="H35" s="164"/>
      <c r="I35" s="164"/>
      <c r="J35" s="164"/>
      <c r="K35" s="164"/>
      <c r="L35" s="164"/>
      <c r="M35" s="164"/>
      <c r="N35" s="164"/>
      <c r="O35" s="164"/>
      <c r="P35" s="164"/>
      <c r="Q35" s="164"/>
      <c r="R35" s="164"/>
      <c r="S35" s="164"/>
      <c r="T35" s="164"/>
      <c r="U35" s="164"/>
      <c r="V35" s="164"/>
      <c r="W35" s="164"/>
      <c r="X35" s="164"/>
      <c r="Y35" s="164"/>
      <c r="Z35" s="164"/>
      <c r="AA35" s="78"/>
      <c r="AB35" s="78"/>
    </row>
    <row r="36" spans="1:28" ht="47.5" x14ac:dyDescent="1.1000000000000001">
      <c r="A36" s="187" t="s">
        <v>44</v>
      </c>
      <c r="B36" s="187"/>
      <c r="C36" s="187"/>
      <c r="D36" s="187"/>
      <c r="E36" s="86"/>
      <c r="F36" s="87"/>
      <c r="G36" s="87"/>
      <c r="H36" s="87"/>
      <c r="I36" s="87"/>
      <c r="J36" s="87"/>
      <c r="K36" s="87"/>
      <c r="L36" s="87"/>
      <c r="M36" s="87"/>
      <c r="N36" s="87"/>
      <c r="O36" s="87"/>
      <c r="P36" s="87"/>
      <c r="Q36" s="87"/>
      <c r="R36" s="87"/>
      <c r="S36" s="87"/>
      <c r="T36" s="87"/>
      <c r="U36" s="87"/>
      <c r="V36" s="87"/>
      <c r="W36" s="87"/>
      <c r="X36" s="87"/>
      <c r="Y36" s="87"/>
      <c r="Z36" s="87"/>
      <c r="AA36" s="87"/>
      <c r="AB36" s="87"/>
    </row>
    <row r="37" spans="1:28" ht="36" x14ac:dyDescent="0.8">
      <c r="A37" s="87"/>
      <c r="B37" s="192" t="s">
        <v>94</v>
      </c>
      <c r="C37" s="192"/>
      <c r="D37" s="192"/>
      <c r="E37" s="192"/>
      <c r="F37" s="192"/>
      <c r="G37" s="192"/>
      <c r="H37" s="192"/>
      <c r="I37" s="87"/>
      <c r="J37" s="87"/>
      <c r="K37" s="87"/>
      <c r="L37" s="87"/>
      <c r="M37" s="87"/>
      <c r="N37" s="87"/>
      <c r="O37" s="87"/>
      <c r="P37" s="87"/>
      <c r="Q37" s="87"/>
      <c r="R37" s="87"/>
      <c r="S37" s="87"/>
      <c r="T37" s="87"/>
      <c r="U37" s="87"/>
      <c r="V37" s="87"/>
      <c r="W37" s="87"/>
      <c r="X37" s="87"/>
      <c r="Y37" s="87"/>
      <c r="Z37" s="87"/>
      <c r="AA37" s="87"/>
      <c r="AB37" s="87"/>
    </row>
    <row r="38" spans="1:28" ht="18.5" x14ac:dyDescent="0.35">
      <c r="A38" s="87"/>
      <c r="B38" s="87"/>
      <c r="C38" s="195" t="s">
        <v>95</v>
      </c>
      <c r="D38" s="195"/>
      <c r="E38" s="195"/>
      <c r="F38" s="195"/>
      <c r="G38" s="195"/>
      <c r="H38" s="195"/>
      <c r="I38" s="195"/>
      <c r="J38" s="195"/>
      <c r="K38" s="195"/>
      <c r="L38" s="195"/>
      <c r="M38" s="195"/>
      <c r="N38" s="195"/>
      <c r="O38" s="195"/>
      <c r="P38" s="195"/>
      <c r="Q38" s="195"/>
      <c r="R38" s="195"/>
      <c r="S38" s="195"/>
      <c r="T38" s="195"/>
      <c r="U38" s="195"/>
      <c r="V38" s="195"/>
      <c r="W38" s="195"/>
      <c r="X38" s="195"/>
      <c r="Y38" s="195"/>
      <c r="Z38" s="195"/>
      <c r="AA38" s="195"/>
      <c r="AB38" s="195"/>
    </row>
    <row r="39" spans="1:28" ht="18.5" x14ac:dyDescent="0.35">
      <c r="A39" s="87"/>
      <c r="B39" s="87"/>
      <c r="C39" s="196" t="s">
        <v>96</v>
      </c>
      <c r="D39" s="196"/>
      <c r="E39" s="196"/>
      <c r="F39" s="196"/>
      <c r="G39" s="196"/>
      <c r="H39" s="196"/>
      <c r="I39" s="196"/>
      <c r="J39" s="196"/>
      <c r="K39" s="196"/>
      <c r="L39" s="196"/>
      <c r="M39" s="196"/>
      <c r="N39" s="196"/>
      <c r="O39" s="196"/>
      <c r="P39" s="196"/>
      <c r="Q39" s="196"/>
      <c r="R39" s="196"/>
      <c r="S39" s="196"/>
      <c r="T39" s="196"/>
      <c r="U39" s="196"/>
      <c r="V39" s="196"/>
      <c r="W39" s="196"/>
      <c r="X39" s="196"/>
      <c r="Y39" s="196"/>
      <c r="Z39" s="196"/>
      <c r="AA39" s="196"/>
      <c r="AB39" s="196"/>
    </row>
    <row r="40" spans="1:28" ht="18.5" x14ac:dyDescent="0.45">
      <c r="A40" s="87"/>
      <c r="B40" s="87"/>
      <c r="C40" s="179" t="s">
        <v>183</v>
      </c>
      <c r="D40" s="179"/>
      <c r="E40" s="179"/>
      <c r="F40" s="179"/>
      <c r="G40" s="179"/>
      <c r="H40" s="179"/>
      <c r="I40" s="179"/>
      <c r="J40" s="179"/>
      <c r="K40" s="179"/>
      <c r="L40" s="179"/>
      <c r="M40" s="179"/>
      <c r="N40" s="179"/>
      <c r="O40" s="179"/>
      <c r="P40" s="179"/>
      <c r="Q40" s="179"/>
      <c r="R40" s="179"/>
      <c r="S40" s="179"/>
      <c r="T40" s="179"/>
      <c r="U40" s="179"/>
      <c r="V40" s="179"/>
      <c r="W40" s="179"/>
      <c r="X40" s="179"/>
      <c r="Y40" s="179"/>
      <c r="Z40" s="179"/>
      <c r="AA40" s="179"/>
      <c r="AB40" s="179"/>
    </row>
    <row r="41" spans="1:28" ht="31" x14ac:dyDescent="0.7">
      <c r="A41" s="87"/>
      <c r="B41" s="87"/>
      <c r="C41" s="87"/>
      <c r="D41" s="182" t="s">
        <v>48</v>
      </c>
      <c r="E41" s="182"/>
      <c r="F41" s="182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7"/>
      <c r="V41" s="87"/>
      <c r="W41" s="87"/>
      <c r="X41" s="87"/>
      <c r="Y41" s="87"/>
      <c r="Z41" s="87"/>
      <c r="AA41" s="87"/>
      <c r="AB41" s="87"/>
    </row>
    <row r="42" spans="1:28" ht="18.5" x14ac:dyDescent="0.35">
      <c r="A42" s="87"/>
      <c r="B42" s="87"/>
      <c r="C42" s="87"/>
      <c r="D42" s="87"/>
      <c r="E42" s="181" t="s">
        <v>97</v>
      </c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</row>
    <row r="43" spans="1:28" ht="26" x14ac:dyDescent="0.6">
      <c r="A43" s="87"/>
      <c r="B43" s="87"/>
      <c r="C43" s="87"/>
      <c r="D43" s="87"/>
      <c r="E43" s="88"/>
      <c r="F43" s="165" t="s">
        <v>127</v>
      </c>
      <c r="G43" s="165"/>
      <c r="H43" s="165"/>
      <c r="I43" s="165"/>
      <c r="J43" s="165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  <c r="AA43" s="78"/>
      <c r="AB43" s="78"/>
    </row>
    <row r="44" spans="1:28" ht="26" x14ac:dyDescent="0.6">
      <c r="A44" s="87"/>
      <c r="B44" s="87"/>
      <c r="C44" s="87"/>
      <c r="D44" s="87"/>
      <c r="E44" s="88"/>
      <c r="F44" s="79"/>
      <c r="G44" s="164" t="s">
        <v>136</v>
      </c>
      <c r="H44" s="164"/>
      <c r="I44" s="164"/>
      <c r="J44" s="164"/>
      <c r="K44" s="164"/>
      <c r="L44" s="164"/>
      <c r="M44" s="164"/>
      <c r="N44" s="164"/>
      <c r="O44" s="164"/>
      <c r="P44" s="164"/>
      <c r="Q44" s="164"/>
      <c r="R44" s="164"/>
      <c r="S44" s="164"/>
      <c r="T44" s="164"/>
      <c r="U44" s="164"/>
      <c r="V44" s="164"/>
      <c r="W44" s="164"/>
      <c r="X44" s="164"/>
      <c r="Y44" s="164"/>
      <c r="Z44" s="164"/>
      <c r="AA44" s="78"/>
      <c r="AB44" s="78"/>
    </row>
    <row r="45" spans="1:28" ht="26" x14ac:dyDescent="0.6">
      <c r="A45" s="87"/>
      <c r="B45" s="87"/>
      <c r="C45" s="87"/>
      <c r="D45" s="87"/>
      <c r="E45" s="88"/>
      <c r="F45" s="79"/>
      <c r="G45" s="164" t="s">
        <v>137</v>
      </c>
      <c r="H45" s="164"/>
      <c r="I45" s="164"/>
      <c r="J45" s="164"/>
      <c r="K45" s="164"/>
      <c r="L45" s="164"/>
      <c r="M45" s="164"/>
      <c r="N45" s="164"/>
      <c r="O45" s="164"/>
      <c r="P45" s="164"/>
      <c r="Q45" s="164"/>
      <c r="R45" s="164"/>
      <c r="S45" s="164"/>
      <c r="T45" s="164"/>
      <c r="U45" s="164"/>
      <c r="V45" s="164"/>
      <c r="W45" s="164"/>
      <c r="X45" s="164"/>
      <c r="Y45" s="164"/>
      <c r="Z45" s="164"/>
      <c r="AA45" s="78"/>
      <c r="AB45" s="78"/>
    </row>
    <row r="46" spans="1:28" ht="26" x14ac:dyDescent="0.6">
      <c r="A46" s="87"/>
      <c r="B46" s="87"/>
      <c r="C46" s="87"/>
      <c r="D46" s="87"/>
      <c r="E46" s="88"/>
      <c r="F46" s="79"/>
      <c r="G46" s="164" t="s">
        <v>138</v>
      </c>
      <c r="H46" s="164"/>
      <c r="I46" s="164"/>
      <c r="J46" s="164"/>
      <c r="K46" s="164"/>
      <c r="L46" s="164"/>
      <c r="M46" s="164"/>
      <c r="N46" s="164"/>
      <c r="O46" s="164"/>
      <c r="P46" s="164"/>
      <c r="Q46" s="164"/>
      <c r="R46" s="164"/>
      <c r="S46" s="164"/>
      <c r="T46" s="164"/>
      <c r="U46" s="164"/>
      <c r="V46" s="164"/>
      <c r="W46" s="164"/>
      <c r="X46" s="164"/>
      <c r="Y46" s="164"/>
      <c r="Z46" s="164"/>
      <c r="AA46" s="78"/>
      <c r="AB46" s="78"/>
    </row>
    <row r="47" spans="1:28" ht="31" x14ac:dyDescent="0.7">
      <c r="A47" s="87"/>
      <c r="B47" s="87"/>
      <c r="C47" s="87"/>
      <c r="D47" s="182" t="s">
        <v>5</v>
      </c>
      <c r="E47" s="182"/>
      <c r="F47" s="182"/>
      <c r="G47" s="87"/>
      <c r="H47" s="87"/>
      <c r="I47" s="87"/>
      <c r="J47" s="87"/>
      <c r="K47" s="87"/>
      <c r="L47" s="87"/>
      <c r="M47" s="87"/>
      <c r="N47" s="87"/>
      <c r="O47" s="87"/>
      <c r="P47" s="87"/>
      <c r="Q47" s="87"/>
      <c r="R47" s="87"/>
      <c r="S47" s="87"/>
      <c r="T47" s="87"/>
      <c r="U47" s="87"/>
      <c r="V47" s="87"/>
      <c r="W47" s="87"/>
      <c r="X47" s="87"/>
      <c r="Y47" s="87"/>
      <c r="Z47" s="87"/>
      <c r="AA47" s="87"/>
      <c r="AB47" s="87"/>
    </row>
    <row r="48" spans="1:28" ht="18.5" x14ac:dyDescent="0.45">
      <c r="A48" s="87"/>
      <c r="B48" s="87"/>
      <c r="C48" s="87"/>
      <c r="D48" s="87"/>
      <c r="E48" s="175" t="s">
        <v>98</v>
      </c>
      <c r="F48" s="175"/>
      <c r="G48" s="175"/>
      <c r="H48" s="175"/>
      <c r="I48" s="175"/>
      <c r="J48" s="175"/>
      <c r="K48" s="175"/>
      <c r="L48" s="175"/>
      <c r="M48" s="175"/>
      <c r="N48" s="175"/>
      <c r="O48" s="175"/>
      <c r="P48" s="175"/>
      <c r="Q48" s="175"/>
      <c r="R48" s="175"/>
      <c r="S48" s="175"/>
      <c r="T48" s="175"/>
      <c r="U48" s="175"/>
      <c r="V48" s="175"/>
      <c r="W48" s="175"/>
      <c r="X48" s="175"/>
      <c r="Y48" s="175"/>
      <c r="Z48" s="175"/>
      <c r="AA48" s="175"/>
      <c r="AB48" s="175"/>
    </row>
    <row r="49" spans="1:28" ht="26" x14ac:dyDescent="0.6">
      <c r="A49" s="87"/>
      <c r="B49" s="87"/>
      <c r="C49" s="87"/>
      <c r="D49" s="87"/>
      <c r="E49" s="88"/>
      <c r="F49" s="165" t="s">
        <v>127</v>
      </c>
      <c r="G49" s="165"/>
      <c r="H49" s="165"/>
      <c r="I49" s="165"/>
      <c r="J49" s="165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  <c r="AA49" s="78"/>
      <c r="AB49" s="78"/>
    </row>
    <row r="50" spans="1:28" ht="26" x14ac:dyDescent="0.6">
      <c r="A50" s="87"/>
      <c r="B50" s="87"/>
      <c r="C50" s="87"/>
      <c r="D50" s="87"/>
      <c r="E50" s="88"/>
      <c r="F50" s="79"/>
      <c r="G50" s="164" t="s">
        <v>139</v>
      </c>
      <c r="H50" s="164"/>
      <c r="I50" s="164"/>
      <c r="J50" s="164"/>
      <c r="K50" s="164"/>
      <c r="L50" s="164"/>
      <c r="M50" s="164"/>
      <c r="N50" s="164"/>
      <c r="O50" s="164"/>
      <c r="P50" s="164"/>
      <c r="Q50" s="164"/>
      <c r="R50" s="164"/>
      <c r="S50" s="164"/>
      <c r="T50" s="164"/>
      <c r="U50" s="164"/>
      <c r="V50" s="164"/>
      <c r="W50" s="164"/>
      <c r="X50" s="164"/>
      <c r="Y50" s="164"/>
      <c r="Z50" s="164"/>
      <c r="AA50" s="78"/>
      <c r="AB50" s="78"/>
    </row>
    <row r="51" spans="1:28" ht="26" x14ac:dyDescent="0.6">
      <c r="A51" s="87"/>
      <c r="B51" s="87"/>
      <c r="C51" s="87"/>
      <c r="D51" s="87"/>
      <c r="E51" s="88"/>
      <c r="F51" s="79"/>
      <c r="G51" s="164" t="s">
        <v>140</v>
      </c>
      <c r="H51" s="164"/>
      <c r="I51" s="164"/>
      <c r="J51" s="164"/>
      <c r="K51" s="164"/>
      <c r="L51" s="164"/>
      <c r="M51" s="164"/>
      <c r="N51" s="164"/>
      <c r="O51" s="164"/>
      <c r="P51" s="164"/>
      <c r="Q51" s="164"/>
      <c r="R51" s="164"/>
      <c r="S51" s="164"/>
      <c r="T51" s="164"/>
      <c r="U51" s="164"/>
      <c r="V51" s="164"/>
      <c r="W51" s="164"/>
      <c r="X51" s="164"/>
      <c r="Y51" s="164"/>
      <c r="Z51" s="164"/>
      <c r="AA51" s="78"/>
      <c r="AB51" s="78"/>
    </row>
    <row r="52" spans="1:28" ht="26" x14ac:dyDescent="0.6">
      <c r="A52" s="87"/>
      <c r="B52" s="87"/>
      <c r="C52" s="87"/>
      <c r="D52" s="87"/>
      <c r="E52" s="88"/>
      <c r="F52" s="79"/>
      <c r="G52" s="164" t="s">
        <v>141</v>
      </c>
      <c r="H52" s="164"/>
      <c r="I52" s="164"/>
      <c r="J52" s="164"/>
      <c r="K52" s="164"/>
      <c r="L52" s="164"/>
      <c r="M52" s="164"/>
      <c r="N52" s="164"/>
      <c r="O52" s="164"/>
      <c r="P52" s="164"/>
      <c r="Q52" s="164"/>
      <c r="R52" s="164"/>
      <c r="S52" s="164"/>
      <c r="T52" s="164"/>
      <c r="U52" s="164"/>
      <c r="V52" s="164"/>
      <c r="W52" s="164"/>
      <c r="X52" s="164"/>
      <c r="Y52" s="164"/>
      <c r="Z52" s="164"/>
      <c r="AA52" s="78"/>
      <c r="AB52" s="78"/>
    </row>
    <row r="53" spans="1:28" ht="31" x14ac:dyDescent="0.7">
      <c r="A53" s="87"/>
      <c r="B53" s="87"/>
      <c r="C53" s="87"/>
      <c r="D53" s="182" t="s">
        <v>6</v>
      </c>
      <c r="E53" s="182"/>
      <c r="F53" s="182"/>
      <c r="G53" s="87"/>
      <c r="H53" s="87"/>
      <c r="I53" s="87"/>
      <c r="J53" s="87"/>
      <c r="K53" s="87"/>
      <c r="L53" s="87"/>
      <c r="M53" s="87"/>
      <c r="N53" s="87"/>
      <c r="O53" s="87"/>
      <c r="P53" s="87"/>
      <c r="Q53" s="87"/>
      <c r="R53" s="87"/>
      <c r="S53" s="87"/>
      <c r="T53" s="87"/>
      <c r="U53" s="87"/>
      <c r="V53" s="87"/>
      <c r="W53" s="87"/>
      <c r="X53" s="87"/>
      <c r="Y53" s="87"/>
      <c r="Z53" s="87"/>
      <c r="AA53" s="87"/>
      <c r="AB53" s="87"/>
    </row>
    <row r="54" spans="1:28" ht="18.5" x14ac:dyDescent="0.45">
      <c r="A54" s="87"/>
      <c r="B54" s="87"/>
      <c r="C54" s="87"/>
      <c r="D54" s="87"/>
      <c r="E54" s="175" t="s">
        <v>99</v>
      </c>
      <c r="F54" s="175"/>
      <c r="G54" s="175"/>
      <c r="H54" s="175"/>
      <c r="I54" s="175"/>
      <c r="J54" s="175"/>
      <c r="K54" s="175"/>
      <c r="L54" s="175"/>
      <c r="M54" s="175"/>
      <c r="N54" s="175"/>
      <c r="O54" s="175"/>
      <c r="P54" s="175"/>
      <c r="Q54" s="175"/>
      <c r="R54" s="175"/>
      <c r="S54" s="175"/>
      <c r="T54" s="175"/>
      <c r="U54" s="175"/>
      <c r="V54" s="175"/>
      <c r="W54" s="175"/>
      <c r="X54" s="175"/>
      <c r="Y54" s="175"/>
      <c r="Z54" s="175"/>
      <c r="AA54" s="175"/>
      <c r="AB54" s="175"/>
    </row>
    <row r="55" spans="1:28" ht="26" x14ac:dyDescent="0.6">
      <c r="A55" s="87"/>
      <c r="B55" s="87"/>
      <c r="C55" s="87"/>
      <c r="D55" s="87"/>
      <c r="E55" s="89"/>
      <c r="F55" s="165" t="s">
        <v>127</v>
      </c>
      <c r="G55" s="165"/>
      <c r="H55" s="165"/>
      <c r="I55" s="165"/>
      <c r="J55" s="165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  <c r="AA55" s="78"/>
      <c r="AB55" s="78"/>
    </row>
    <row r="56" spans="1:28" ht="26" x14ac:dyDescent="0.6">
      <c r="A56" s="87"/>
      <c r="B56" s="87"/>
      <c r="C56" s="87"/>
      <c r="D56" s="87"/>
      <c r="E56" s="89"/>
      <c r="F56" s="79"/>
      <c r="G56" s="164" t="s">
        <v>142</v>
      </c>
      <c r="H56" s="164"/>
      <c r="I56" s="164"/>
      <c r="J56" s="164"/>
      <c r="K56" s="164"/>
      <c r="L56" s="164"/>
      <c r="M56" s="164"/>
      <c r="N56" s="164"/>
      <c r="O56" s="164"/>
      <c r="P56" s="164"/>
      <c r="Q56" s="164"/>
      <c r="R56" s="164"/>
      <c r="S56" s="164"/>
      <c r="T56" s="164"/>
      <c r="U56" s="164"/>
      <c r="V56" s="164"/>
      <c r="W56" s="164"/>
      <c r="X56" s="164"/>
      <c r="Y56" s="164"/>
      <c r="Z56" s="164"/>
      <c r="AA56" s="78"/>
      <c r="AB56" s="78"/>
    </row>
    <row r="57" spans="1:28" ht="26" x14ac:dyDescent="0.6">
      <c r="A57" s="87"/>
      <c r="B57" s="87"/>
      <c r="C57" s="87"/>
      <c r="D57" s="87"/>
      <c r="E57" s="89"/>
      <c r="F57" s="79"/>
      <c r="G57" s="164" t="s">
        <v>143</v>
      </c>
      <c r="H57" s="164"/>
      <c r="I57" s="164"/>
      <c r="J57" s="164"/>
      <c r="K57" s="164"/>
      <c r="L57" s="164"/>
      <c r="M57" s="164"/>
      <c r="N57" s="164"/>
      <c r="O57" s="164"/>
      <c r="P57" s="164"/>
      <c r="Q57" s="164"/>
      <c r="R57" s="164"/>
      <c r="S57" s="164"/>
      <c r="T57" s="164"/>
      <c r="U57" s="164"/>
      <c r="V57" s="164"/>
      <c r="W57" s="164"/>
      <c r="X57" s="164"/>
      <c r="Y57" s="164"/>
      <c r="Z57" s="164"/>
      <c r="AA57" s="78"/>
      <c r="AB57" s="78"/>
    </row>
    <row r="58" spans="1:28" ht="26" x14ac:dyDescent="0.6">
      <c r="A58" s="87"/>
      <c r="B58" s="87"/>
      <c r="C58" s="87"/>
      <c r="D58" s="87"/>
      <c r="E58" s="89"/>
      <c r="F58" s="79"/>
      <c r="G58" s="164" t="s">
        <v>144</v>
      </c>
      <c r="H58" s="164"/>
      <c r="I58" s="164"/>
      <c r="J58" s="164"/>
      <c r="K58" s="164"/>
      <c r="L58" s="164"/>
      <c r="M58" s="164"/>
      <c r="N58" s="164"/>
      <c r="O58" s="164"/>
      <c r="P58" s="164"/>
      <c r="Q58" s="164"/>
      <c r="R58" s="164"/>
      <c r="S58" s="164"/>
      <c r="T58" s="164"/>
      <c r="U58" s="164"/>
      <c r="V58" s="164"/>
      <c r="W58" s="164"/>
      <c r="X58" s="164"/>
      <c r="Y58" s="164"/>
      <c r="Z58" s="164"/>
      <c r="AA58" s="78"/>
      <c r="AB58" s="78"/>
    </row>
    <row r="59" spans="1:28" ht="31" x14ac:dyDescent="0.7">
      <c r="A59" s="87"/>
      <c r="B59" s="87"/>
      <c r="C59" s="87"/>
      <c r="D59" s="182" t="s">
        <v>49</v>
      </c>
      <c r="E59" s="182"/>
      <c r="F59" s="182"/>
      <c r="G59" s="87"/>
      <c r="H59" s="87"/>
      <c r="I59" s="87"/>
      <c r="J59" s="87"/>
      <c r="K59" s="87"/>
      <c r="L59" s="87"/>
      <c r="M59" s="87"/>
      <c r="N59" s="87"/>
      <c r="O59" s="87"/>
      <c r="P59" s="87"/>
      <c r="Q59" s="87"/>
      <c r="R59" s="87"/>
      <c r="S59" s="87"/>
      <c r="T59" s="87"/>
      <c r="U59" s="87"/>
      <c r="V59" s="87"/>
      <c r="W59" s="87"/>
      <c r="X59" s="87"/>
      <c r="Y59" s="87"/>
      <c r="Z59" s="87"/>
      <c r="AA59" s="87"/>
      <c r="AB59" s="87"/>
    </row>
    <row r="60" spans="1:28" ht="18.5" x14ac:dyDescent="0.45">
      <c r="A60" s="87"/>
      <c r="B60" s="87"/>
      <c r="C60" s="87"/>
      <c r="D60" s="87"/>
      <c r="E60" s="175" t="s">
        <v>100</v>
      </c>
      <c r="F60" s="175"/>
      <c r="G60" s="175"/>
      <c r="H60" s="175"/>
      <c r="I60" s="175"/>
      <c r="J60" s="175"/>
      <c r="K60" s="175"/>
      <c r="L60" s="175"/>
      <c r="M60" s="175"/>
      <c r="N60" s="175"/>
      <c r="O60" s="175"/>
      <c r="P60" s="175"/>
      <c r="Q60" s="175"/>
      <c r="R60" s="175"/>
      <c r="S60" s="175"/>
      <c r="T60" s="175"/>
      <c r="U60" s="175"/>
      <c r="V60" s="175"/>
      <c r="W60" s="175"/>
      <c r="X60" s="175"/>
      <c r="Y60" s="175"/>
      <c r="Z60" s="175"/>
      <c r="AA60" s="175"/>
      <c r="AB60" s="175"/>
    </row>
    <row r="61" spans="1:28" ht="26" x14ac:dyDescent="0.6">
      <c r="A61" s="87"/>
      <c r="B61" s="87"/>
      <c r="C61" s="87"/>
      <c r="D61" s="87"/>
      <c r="E61" s="89"/>
      <c r="F61" s="165" t="s">
        <v>127</v>
      </c>
      <c r="G61" s="165"/>
      <c r="H61" s="165"/>
      <c r="I61" s="165"/>
      <c r="J61" s="165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  <c r="AA61" s="78"/>
      <c r="AB61" s="78"/>
    </row>
    <row r="62" spans="1:28" ht="26" x14ac:dyDescent="0.6">
      <c r="A62" s="87"/>
      <c r="B62" s="87"/>
      <c r="C62" s="87"/>
      <c r="D62" s="87"/>
      <c r="E62" s="89"/>
      <c r="F62" s="79"/>
      <c r="G62" s="164" t="s">
        <v>145</v>
      </c>
      <c r="H62" s="164"/>
      <c r="I62" s="164"/>
      <c r="J62" s="164"/>
      <c r="K62" s="164"/>
      <c r="L62" s="164"/>
      <c r="M62" s="164"/>
      <c r="N62" s="164"/>
      <c r="O62" s="164"/>
      <c r="P62" s="164"/>
      <c r="Q62" s="164"/>
      <c r="R62" s="164"/>
      <c r="S62" s="164"/>
      <c r="T62" s="164"/>
      <c r="U62" s="164"/>
      <c r="V62" s="164"/>
      <c r="W62" s="164"/>
      <c r="X62" s="164"/>
      <c r="Y62" s="164"/>
      <c r="Z62" s="164"/>
      <c r="AA62" s="78"/>
      <c r="AB62" s="78"/>
    </row>
    <row r="63" spans="1:28" ht="26" x14ac:dyDescent="0.6">
      <c r="A63" s="87"/>
      <c r="B63" s="87"/>
      <c r="C63" s="87"/>
      <c r="D63" s="87"/>
      <c r="E63" s="89"/>
      <c r="F63" s="79"/>
      <c r="G63" s="164" t="s">
        <v>146</v>
      </c>
      <c r="H63" s="164"/>
      <c r="I63" s="164"/>
      <c r="J63" s="164"/>
      <c r="K63" s="164"/>
      <c r="L63" s="164"/>
      <c r="M63" s="164"/>
      <c r="N63" s="164"/>
      <c r="O63" s="164"/>
      <c r="P63" s="164"/>
      <c r="Q63" s="164"/>
      <c r="R63" s="164"/>
      <c r="S63" s="164"/>
      <c r="T63" s="164"/>
      <c r="U63" s="164"/>
      <c r="V63" s="164"/>
      <c r="W63" s="164"/>
      <c r="X63" s="164"/>
      <c r="Y63" s="164"/>
      <c r="Z63" s="164"/>
      <c r="AA63" s="78"/>
      <c r="AB63" s="78"/>
    </row>
    <row r="64" spans="1:28" ht="26" x14ac:dyDescent="0.6">
      <c r="A64" s="87"/>
      <c r="B64" s="87"/>
      <c r="C64" s="87"/>
      <c r="D64" s="87"/>
      <c r="E64" s="89"/>
      <c r="F64" s="79"/>
      <c r="G64" s="164" t="s">
        <v>147</v>
      </c>
      <c r="H64" s="164"/>
      <c r="I64" s="164"/>
      <c r="J64" s="164"/>
      <c r="K64" s="164"/>
      <c r="L64" s="164"/>
      <c r="M64" s="164"/>
      <c r="N64" s="164"/>
      <c r="O64" s="164"/>
      <c r="P64" s="164"/>
      <c r="Q64" s="164"/>
      <c r="R64" s="164"/>
      <c r="S64" s="164"/>
      <c r="T64" s="164"/>
      <c r="U64" s="164"/>
      <c r="V64" s="164"/>
      <c r="W64" s="164"/>
      <c r="X64" s="164"/>
      <c r="Y64" s="164"/>
      <c r="Z64" s="164"/>
      <c r="AA64" s="78"/>
      <c r="AB64" s="78"/>
    </row>
    <row r="65" spans="1:28" ht="31" x14ac:dyDescent="0.7">
      <c r="A65" s="87"/>
      <c r="B65" s="87"/>
      <c r="C65" s="87"/>
      <c r="D65" s="182" t="s">
        <v>50</v>
      </c>
      <c r="E65" s="182"/>
      <c r="F65" s="182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7"/>
      <c r="AB65" s="87"/>
    </row>
    <row r="66" spans="1:28" ht="18.5" x14ac:dyDescent="0.35">
      <c r="A66" s="87"/>
      <c r="B66" s="87"/>
      <c r="C66" s="87"/>
      <c r="D66" s="87"/>
      <c r="E66" s="181" t="s">
        <v>101</v>
      </c>
      <c r="F66" s="181"/>
      <c r="G66" s="181"/>
      <c r="H66" s="181"/>
      <c r="I66" s="181"/>
      <c r="J66" s="181"/>
      <c r="K66" s="181"/>
      <c r="L66" s="181"/>
      <c r="M66" s="181"/>
      <c r="N66" s="181"/>
      <c r="O66" s="181"/>
      <c r="P66" s="181"/>
      <c r="Q66" s="181"/>
      <c r="R66" s="181"/>
      <c r="S66" s="181"/>
      <c r="T66" s="181"/>
      <c r="U66" s="181"/>
      <c r="V66" s="181"/>
      <c r="W66" s="181"/>
      <c r="X66" s="181"/>
      <c r="Y66" s="181"/>
      <c r="Z66" s="181"/>
      <c r="AA66" s="181"/>
      <c r="AB66" s="181"/>
    </row>
    <row r="67" spans="1:28" ht="26" x14ac:dyDescent="0.6">
      <c r="A67" s="87"/>
      <c r="B67" s="87"/>
      <c r="C67" s="87"/>
      <c r="D67" s="87"/>
      <c r="E67" s="86"/>
      <c r="F67" s="165" t="s">
        <v>127</v>
      </c>
      <c r="G67" s="165"/>
      <c r="H67" s="165"/>
      <c r="I67" s="165"/>
      <c r="J67" s="165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  <c r="AA67" s="78"/>
      <c r="AB67" s="78"/>
    </row>
    <row r="68" spans="1:28" ht="26" x14ac:dyDescent="0.6">
      <c r="A68" s="87"/>
      <c r="B68" s="87"/>
      <c r="C68" s="87"/>
      <c r="D68" s="87"/>
      <c r="E68" s="86"/>
      <c r="F68" s="79"/>
      <c r="G68" s="164" t="s">
        <v>148</v>
      </c>
      <c r="H68" s="164"/>
      <c r="I68" s="164"/>
      <c r="J68" s="164"/>
      <c r="K68" s="164"/>
      <c r="L68" s="164"/>
      <c r="M68" s="164"/>
      <c r="N68" s="164"/>
      <c r="O68" s="164"/>
      <c r="P68" s="164"/>
      <c r="Q68" s="164"/>
      <c r="R68" s="164"/>
      <c r="S68" s="164"/>
      <c r="T68" s="164"/>
      <c r="U68" s="164"/>
      <c r="V68" s="164"/>
      <c r="W68" s="164"/>
      <c r="X68" s="164"/>
      <c r="Y68" s="164"/>
      <c r="Z68" s="164"/>
      <c r="AA68" s="78"/>
      <c r="AB68" s="78"/>
    </row>
    <row r="69" spans="1:28" ht="26" x14ac:dyDescent="0.6">
      <c r="A69" s="87"/>
      <c r="B69" s="87"/>
      <c r="C69" s="87"/>
      <c r="D69" s="87"/>
      <c r="E69" s="86"/>
      <c r="F69" s="79"/>
      <c r="G69" s="164" t="s">
        <v>149</v>
      </c>
      <c r="H69" s="164"/>
      <c r="I69" s="164"/>
      <c r="J69" s="164"/>
      <c r="K69" s="164"/>
      <c r="L69" s="164"/>
      <c r="M69" s="164"/>
      <c r="N69" s="164"/>
      <c r="O69" s="164"/>
      <c r="P69" s="164"/>
      <c r="Q69" s="164"/>
      <c r="R69" s="164"/>
      <c r="S69" s="164"/>
      <c r="T69" s="164"/>
      <c r="U69" s="164"/>
      <c r="V69" s="164"/>
      <c r="W69" s="164"/>
      <c r="X69" s="164"/>
      <c r="Y69" s="164"/>
      <c r="Z69" s="164"/>
      <c r="AA69" s="78"/>
      <c r="AB69" s="78"/>
    </row>
    <row r="70" spans="1:28" ht="26" x14ac:dyDescent="0.6">
      <c r="A70" s="87"/>
      <c r="B70" s="87"/>
      <c r="C70" s="87"/>
      <c r="D70" s="87"/>
      <c r="E70" s="86"/>
      <c r="F70" s="79"/>
      <c r="G70" s="164" t="s">
        <v>150</v>
      </c>
      <c r="H70" s="164"/>
      <c r="I70" s="164"/>
      <c r="J70" s="164"/>
      <c r="K70" s="164"/>
      <c r="L70" s="164"/>
      <c r="M70" s="164"/>
      <c r="N70" s="164"/>
      <c r="O70" s="164"/>
      <c r="P70" s="164"/>
      <c r="Q70" s="164"/>
      <c r="R70" s="164"/>
      <c r="S70" s="164"/>
      <c r="T70" s="164"/>
      <c r="U70" s="164"/>
      <c r="V70" s="164"/>
      <c r="W70" s="164"/>
      <c r="X70" s="164"/>
      <c r="Y70" s="164"/>
      <c r="Z70" s="164"/>
      <c r="AA70" s="78"/>
      <c r="AB70" s="78"/>
    </row>
    <row r="71" spans="1:28" ht="47.5" x14ac:dyDescent="1.1000000000000001">
      <c r="A71" s="188" t="s">
        <v>45</v>
      </c>
      <c r="B71" s="188"/>
      <c r="C71" s="188"/>
      <c r="D71" s="188"/>
      <c r="E71" s="90"/>
      <c r="F71" s="91"/>
      <c r="G71" s="91"/>
      <c r="H71" s="91"/>
      <c r="I71" s="91"/>
      <c r="J71" s="91"/>
      <c r="K71" s="91"/>
      <c r="L71" s="91"/>
      <c r="M71" s="91"/>
      <c r="N71" s="91"/>
      <c r="O71" s="91"/>
      <c r="P71" s="91"/>
      <c r="Q71" s="91"/>
      <c r="R71" s="91"/>
      <c r="S71" s="91"/>
      <c r="T71" s="91"/>
      <c r="U71" s="91"/>
      <c r="V71" s="91"/>
      <c r="W71" s="91"/>
      <c r="X71" s="91"/>
      <c r="Y71" s="91"/>
      <c r="Z71" s="91"/>
      <c r="AA71" s="91"/>
      <c r="AB71" s="91"/>
    </row>
    <row r="72" spans="1:28" ht="36" x14ac:dyDescent="0.8">
      <c r="A72" s="91"/>
      <c r="B72" s="193" t="s">
        <v>102</v>
      </c>
      <c r="C72" s="193"/>
      <c r="D72" s="193"/>
      <c r="E72" s="193"/>
      <c r="F72" s="193"/>
      <c r="G72" s="193"/>
      <c r="H72" s="193"/>
      <c r="I72" s="91"/>
      <c r="J72" s="91"/>
      <c r="K72" s="91"/>
      <c r="L72" s="91"/>
      <c r="M72" s="91"/>
      <c r="N72" s="91"/>
      <c r="O72" s="91"/>
      <c r="P72" s="91"/>
      <c r="Q72" s="91"/>
      <c r="R72" s="91"/>
      <c r="S72" s="91"/>
      <c r="T72" s="91"/>
      <c r="U72" s="91"/>
      <c r="V72" s="91"/>
      <c r="W72" s="91"/>
      <c r="X72" s="91"/>
      <c r="Y72" s="91"/>
      <c r="Z72" s="91"/>
      <c r="AA72" s="91"/>
      <c r="AB72" s="91"/>
    </row>
    <row r="73" spans="1:28" ht="18.5" x14ac:dyDescent="0.35">
      <c r="A73" s="91"/>
      <c r="B73" s="91"/>
      <c r="C73" s="180" t="s">
        <v>95</v>
      </c>
      <c r="D73" s="180"/>
      <c r="E73" s="180"/>
      <c r="F73" s="180"/>
      <c r="G73" s="180"/>
      <c r="H73" s="180"/>
      <c r="I73" s="180"/>
      <c r="J73" s="180"/>
      <c r="K73" s="180"/>
      <c r="L73" s="180"/>
      <c r="M73" s="180"/>
      <c r="N73" s="180"/>
      <c r="O73" s="180"/>
      <c r="P73" s="180"/>
      <c r="Q73" s="180"/>
      <c r="R73" s="180"/>
      <c r="S73" s="180"/>
      <c r="T73" s="180"/>
      <c r="U73" s="180"/>
      <c r="V73" s="180"/>
      <c r="W73" s="180"/>
      <c r="X73" s="180"/>
      <c r="Y73" s="180"/>
      <c r="Z73" s="180"/>
      <c r="AA73" s="180"/>
      <c r="AB73" s="180"/>
    </row>
    <row r="74" spans="1:28" ht="18.5" x14ac:dyDescent="0.35">
      <c r="A74" s="91"/>
      <c r="B74" s="91"/>
      <c r="C74" s="178" t="s">
        <v>87</v>
      </c>
      <c r="D74" s="178"/>
      <c r="E74" s="178"/>
      <c r="F74" s="178"/>
      <c r="G74" s="178"/>
      <c r="H74" s="178"/>
      <c r="I74" s="178"/>
      <c r="J74" s="178"/>
      <c r="K74" s="178"/>
      <c r="L74" s="178"/>
      <c r="M74" s="178"/>
      <c r="N74" s="178"/>
      <c r="O74" s="178"/>
      <c r="P74" s="178"/>
      <c r="Q74" s="178"/>
      <c r="R74" s="178"/>
      <c r="S74" s="178"/>
      <c r="T74" s="178"/>
      <c r="U74" s="178"/>
      <c r="V74" s="178"/>
      <c r="W74" s="178"/>
      <c r="X74" s="178"/>
      <c r="Y74" s="178"/>
      <c r="Z74" s="178"/>
      <c r="AA74" s="178"/>
      <c r="AB74" s="178"/>
    </row>
    <row r="75" spans="1:28" ht="18.5" x14ac:dyDescent="0.35">
      <c r="A75" s="91"/>
      <c r="B75" s="91"/>
      <c r="C75" s="194" t="s">
        <v>184</v>
      </c>
      <c r="D75" s="194"/>
      <c r="E75" s="194"/>
      <c r="F75" s="194"/>
      <c r="G75" s="194"/>
      <c r="H75" s="194"/>
      <c r="I75" s="194"/>
      <c r="J75" s="194"/>
      <c r="K75" s="194"/>
      <c r="L75" s="194"/>
      <c r="M75" s="194"/>
      <c r="N75" s="194"/>
      <c r="O75" s="194"/>
      <c r="P75" s="194"/>
      <c r="Q75" s="194"/>
      <c r="R75" s="194"/>
      <c r="S75" s="194"/>
      <c r="T75" s="194"/>
      <c r="U75" s="194"/>
      <c r="V75" s="194"/>
      <c r="W75" s="194"/>
      <c r="X75" s="194"/>
      <c r="Y75" s="194"/>
      <c r="Z75" s="194"/>
      <c r="AA75" s="194"/>
      <c r="AB75" s="194"/>
    </row>
    <row r="76" spans="1:28" ht="31" x14ac:dyDescent="0.7">
      <c r="A76" s="91"/>
      <c r="B76" s="91"/>
      <c r="C76" s="91"/>
      <c r="D76" s="174" t="s">
        <v>48</v>
      </c>
      <c r="E76" s="174"/>
      <c r="F76" s="174"/>
      <c r="G76" s="91"/>
      <c r="H76" s="91"/>
      <c r="I76" s="91"/>
      <c r="J76" s="91"/>
      <c r="K76" s="91"/>
      <c r="L76" s="91"/>
      <c r="M76" s="91"/>
      <c r="N76" s="91"/>
      <c r="O76" s="91"/>
      <c r="P76" s="91"/>
      <c r="Q76" s="91"/>
      <c r="R76" s="91"/>
      <c r="S76" s="91"/>
      <c r="T76" s="91"/>
      <c r="U76" s="91"/>
      <c r="V76" s="91"/>
      <c r="W76" s="91"/>
      <c r="X76" s="91"/>
      <c r="Y76" s="91"/>
      <c r="Z76" s="91"/>
      <c r="AA76" s="91"/>
      <c r="AB76" s="91"/>
    </row>
    <row r="77" spans="1:28" ht="18.5" x14ac:dyDescent="0.45">
      <c r="A77" s="91"/>
      <c r="B77" s="91"/>
      <c r="C77" s="91"/>
      <c r="D77" s="91"/>
      <c r="E77" s="176" t="s">
        <v>103</v>
      </c>
      <c r="F77" s="176"/>
      <c r="G77" s="176"/>
      <c r="H77" s="176"/>
      <c r="I77" s="176"/>
      <c r="J77" s="176"/>
      <c r="K77" s="176"/>
      <c r="L77" s="176"/>
      <c r="M77" s="176"/>
      <c r="N77" s="176"/>
      <c r="O77" s="176"/>
      <c r="P77" s="176"/>
      <c r="Q77" s="176"/>
      <c r="R77" s="176"/>
      <c r="S77" s="176"/>
      <c r="T77" s="176"/>
      <c r="U77" s="176"/>
      <c r="V77" s="176"/>
      <c r="W77" s="176"/>
      <c r="X77" s="176"/>
      <c r="Y77" s="176"/>
      <c r="Z77" s="176"/>
      <c r="AA77" s="176"/>
      <c r="AB77" s="176"/>
    </row>
    <row r="78" spans="1:28" ht="26" x14ac:dyDescent="0.6">
      <c r="A78" s="91"/>
      <c r="B78" s="91"/>
      <c r="C78" s="91"/>
      <c r="D78" s="91"/>
      <c r="E78" s="93"/>
      <c r="F78" s="165" t="s">
        <v>127</v>
      </c>
      <c r="G78" s="165"/>
      <c r="H78" s="165"/>
      <c r="I78" s="165"/>
      <c r="J78" s="165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  <c r="AA78" s="78"/>
      <c r="AB78" s="78"/>
    </row>
    <row r="79" spans="1:28" ht="26" x14ac:dyDescent="0.6">
      <c r="A79" s="91"/>
      <c r="B79" s="91"/>
      <c r="C79" s="91"/>
      <c r="D79" s="91"/>
      <c r="E79" s="93"/>
      <c r="F79" s="79"/>
      <c r="G79" s="164" t="s">
        <v>151</v>
      </c>
      <c r="H79" s="164"/>
      <c r="I79" s="164"/>
      <c r="J79" s="164"/>
      <c r="K79" s="164"/>
      <c r="L79" s="164"/>
      <c r="M79" s="164"/>
      <c r="N79" s="164"/>
      <c r="O79" s="164"/>
      <c r="P79" s="164"/>
      <c r="Q79" s="164"/>
      <c r="R79" s="164"/>
      <c r="S79" s="164"/>
      <c r="T79" s="164"/>
      <c r="U79" s="164"/>
      <c r="V79" s="164"/>
      <c r="W79" s="164"/>
      <c r="X79" s="164"/>
      <c r="Y79" s="164"/>
      <c r="Z79" s="164"/>
      <c r="AA79" s="78"/>
      <c r="AB79" s="78"/>
    </row>
    <row r="80" spans="1:28" ht="26" x14ac:dyDescent="0.6">
      <c r="A80" s="91"/>
      <c r="B80" s="91"/>
      <c r="C80" s="91"/>
      <c r="D80" s="91"/>
      <c r="E80" s="93"/>
      <c r="F80" s="79"/>
      <c r="G80" s="164" t="s">
        <v>152</v>
      </c>
      <c r="H80" s="164"/>
      <c r="I80" s="164"/>
      <c r="J80" s="164"/>
      <c r="K80" s="164"/>
      <c r="L80" s="164"/>
      <c r="M80" s="164"/>
      <c r="N80" s="164"/>
      <c r="O80" s="164"/>
      <c r="P80" s="164"/>
      <c r="Q80" s="164"/>
      <c r="R80" s="164"/>
      <c r="S80" s="164"/>
      <c r="T80" s="164"/>
      <c r="U80" s="164"/>
      <c r="V80" s="164"/>
      <c r="W80" s="164"/>
      <c r="X80" s="164"/>
      <c r="Y80" s="164"/>
      <c r="Z80" s="164"/>
      <c r="AA80" s="78"/>
      <c r="AB80" s="78"/>
    </row>
    <row r="81" spans="1:28" ht="26" x14ac:dyDescent="0.6">
      <c r="A81" s="91"/>
      <c r="B81" s="91"/>
      <c r="C81" s="91"/>
      <c r="D81" s="91"/>
      <c r="E81" s="93"/>
      <c r="F81" s="79"/>
      <c r="G81" s="164" t="s">
        <v>153</v>
      </c>
      <c r="H81" s="164"/>
      <c r="I81" s="164"/>
      <c r="J81" s="164"/>
      <c r="K81" s="164"/>
      <c r="L81" s="164"/>
      <c r="M81" s="164"/>
      <c r="N81" s="164"/>
      <c r="O81" s="164"/>
      <c r="P81" s="164"/>
      <c r="Q81" s="164"/>
      <c r="R81" s="164"/>
      <c r="S81" s="164"/>
      <c r="T81" s="164"/>
      <c r="U81" s="164"/>
      <c r="V81" s="164"/>
      <c r="W81" s="164"/>
      <c r="X81" s="164"/>
      <c r="Y81" s="164"/>
      <c r="Z81" s="164"/>
      <c r="AA81" s="78"/>
      <c r="AB81" s="78"/>
    </row>
    <row r="82" spans="1:28" ht="31" x14ac:dyDescent="0.7">
      <c r="A82" s="91"/>
      <c r="B82" s="91"/>
      <c r="C82" s="91"/>
      <c r="D82" s="174" t="s">
        <v>5</v>
      </c>
      <c r="E82" s="174"/>
      <c r="F82" s="174"/>
      <c r="G82" s="91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91"/>
      <c r="T82" s="91"/>
      <c r="U82" s="91"/>
      <c r="V82" s="91"/>
      <c r="W82" s="91"/>
      <c r="X82" s="91"/>
      <c r="Y82" s="91"/>
      <c r="Z82" s="91"/>
      <c r="AA82" s="91"/>
      <c r="AB82" s="91"/>
    </row>
    <row r="83" spans="1:28" ht="18.5" x14ac:dyDescent="0.35">
      <c r="A83" s="91"/>
      <c r="B83" s="91"/>
      <c r="C83" s="91"/>
      <c r="D83" s="91"/>
      <c r="E83" s="168" t="s">
        <v>104</v>
      </c>
      <c r="F83" s="168"/>
      <c r="G83" s="168"/>
      <c r="H83" s="168"/>
      <c r="I83" s="168"/>
      <c r="J83" s="168"/>
      <c r="K83" s="168"/>
      <c r="L83" s="168"/>
      <c r="M83" s="168"/>
      <c r="N83" s="168"/>
      <c r="O83" s="168"/>
      <c r="P83" s="168"/>
      <c r="Q83" s="168"/>
      <c r="R83" s="168"/>
      <c r="S83" s="168"/>
      <c r="T83" s="168"/>
      <c r="U83" s="168"/>
      <c r="V83" s="168"/>
      <c r="W83" s="168"/>
      <c r="X83" s="168"/>
      <c r="Y83" s="168"/>
      <c r="Z83" s="168"/>
      <c r="AA83" s="168"/>
      <c r="AB83" s="168"/>
    </row>
    <row r="84" spans="1:28" ht="26" x14ac:dyDescent="0.6">
      <c r="A84" s="91"/>
      <c r="B84" s="91"/>
      <c r="C84" s="91"/>
      <c r="D84" s="91"/>
      <c r="E84" s="92"/>
      <c r="F84" s="165" t="s">
        <v>127</v>
      </c>
      <c r="G84" s="165"/>
      <c r="H84" s="165"/>
      <c r="I84" s="165"/>
      <c r="J84" s="165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  <c r="AA84" s="78"/>
      <c r="AB84" s="78"/>
    </row>
    <row r="85" spans="1:28" ht="26" x14ac:dyDescent="0.6">
      <c r="A85" s="91"/>
      <c r="B85" s="91"/>
      <c r="C85" s="91"/>
      <c r="D85" s="91"/>
      <c r="E85" s="92"/>
      <c r="F85" s="79"/>
      <c r="G85" s="164" t="s">
        <v>154</v>
      </c>
      <c r="H85" s="164"/>
      <c r="I85" s="164"/>
      <c r="J85" s="164"/>
      <c r="K85" s="164"/>
      <c r="L85" s="164"/>
      <c r="M85" s="164"/>
      <c r="N85" s="164"/>
      <c r="O85" s="164"/>
      <c r="P85" s="164"/>
      <c r="Q85" s="164"/>
      <c r="R85" s="164"/>
      <c r="S85" s="164"/>
      <c r="T85" s="164"/>
      <c r="U85" s="164"/>
      <c r="V85" s="164"/>
      <c r="W85" s="164"/>
      <c r="X85" s="164"/>
      <c r="Y85" s="164"/>
      <c r="Z85" s="164"/>
      <c r="AA85" s="78"/>
      <c r="AB85" s="78"/>
    </row>
    <row r="86" spans="1:28" ht="26" x14ac:dyDescent="0.6">
      <c r="A86" s="91"/>
      <c r="B86" s="91"/>
      <c r="C86" s="91"/>
      <c r="D86" s="91"/>
      <c r="E86" s="92"/>
      <c r="F86" s="79"/>
      <c r="G86" s="164" t="s">
        <v>155</v>
      </c>
      <c r="H86" s="164"/>
      <c r="I86" s="164"/>
      <c r="J86" s="164"/>
      <c r="K86" s="164"/>
      <c r="L86" s="164"/>
      <c r="M86" s="164"/>
      <c r="N86" s="164"/>
      <c r="O86" s="164"/>
      <c r="P86" s="164"/>
      <c r="Q86" s="164"/>
      <c r="R86" s="164"/>
      <c r="S86" s="164"/>
      <c r="T86" s="164"/>
      <c r="U86" s="164"/>
      <c r="V86" s="164"/>
      <c r="W86" s="164"/>
      <c r="X86" s="164"/>
      <c r="Y86" s="164"/>
      <c r="Z86" s="164"/>
      <c r="AA86" s="78"/>
      <c r="AB86" s="78"/>
    </row>
    <row r="87" spans="1:28" ht="26" x14ac:dyDescent="0.6">
      <c r="A87" s="91"/>
      <c r="B87" s="91"/>
      <c r="C87" s="91"/>
      <c r="D87" s="91"/>
      <c r="E87" s="92"/>
      <c r="F87" s="79"/>
      <c r="G87" s="164" t="s">
        <v>156</v>
      </c>
      <c r="H87" s="164"/>
      <c r="I87" s="164"/>
      <c r="J87" s="164"/>
      <c r="K87" s="164"/>
      <c r="L87" s="164"/>
      <c r="M87" s="164"/>
      <c r="N87" s="164"/>
      <c r="O87" s="164"/>
      <c r="P87" s="164"/>
      <c r="Q87" s="164"/>
      <c r="R87" s="164"/>
      <c r="S87" s="164"/>
      <c r="T87" s="164"/>
      <c r="U87" s="164"/>
      <c r="V87" s="164"/>
      <c r="W87" s="164"/>
      <c r="X87" s="164"/>
      <c r="Y87" s="164"/>
      <c r="Z87" s="164"/>
      <c r="AA87" s="78"/>
      <c r="AB87" s="78"/>
    </row>
    <row r="88" spans="1:28" ht="31" x14ac:dyDescent="0.7">
      <c r="A88" s="91"/>
      <c r="B88" s="91"/>
      <c r="C88" s="91"/>
      <c r="D88" s="174" t="s">
        <v>6</v>
      </c>
      <c r="E88" s="174"/>
      <c r="F88" s="174"/>
      <c r="G88" s="91"/>
      <c r="H88" s="91"/>
      <c r="I88" s="91"/>
      <c r="J88" s="91"/>
      <c r="K88" s="91"/>
      <c r="L88" s="91"/>
      <c r="M88" s="91"/>
      <c r="N88" s="91"/>
      <c r="O88" s="91"/>
      <c r="P88" s="91"/>
      <c r="Q88" s="91"/>
      <c r="R88" s="91"/>
      <c r="S88" s="91"/>
      <c r="T88" s="91"/>
      <c r="U88" s="91"/>
      <c r="V88" s="91"/>
      <c r="W88" s="91"/>
      <c r="X88" s="91"/>
      <c r="Y88" s="91"/>
      <c r="Z88" s="91"/>
      <c r="AA88" s="91"/>
      <c r="AB88" s="91"/>
    </row>
    <row r="89" spans="1:28" ht="18.5" x14ac:dyDescent="0.35">
      <c r="A89" s="91"/>
      <c r="B89" s="91"/>
      <c r="C89" s="91"/>
      <c r="D89" s="91"/>
      <c r="E89" s="168" t="s">
        <v>105</v>
      </c>
      <c r="F89" s="168"/>
      <c r="G89" s="168"/>
      <c r="H89" s="168"/>
      <c r="I89" s="168"/>
      <c r="J89" s="168"/>
      <c r="K89" s="168"/>
      <c r="L89" s="168"/>
      <c r="M89" s="168"/>
      <c r="N89" s="168"/>
      <c r="O89" s="168"/>
      <c r="P89" s="168"/>
      <c r="Q89" s="168"/>
      <c r="R89" s="168"/>
      <c r="S89" s="168"/>
      <c r="T89" s="168"/>
      <c r="U89" s="168"/>
      <c r="V89" s="168"/>
      <c r="W89" s="168"/>
      <c r="X89" s="168"/>
      <c r="Y89" s="168"/>
      <c r="Z89" s="168"/>
      <c r="AA89" s="168"/>
      <c r="AB89" s="168"/>
    </row>
    <row r="90" spans="1:28" ht="26" x14ac:dyDescent="0.6">
      <c r="A90" s="91"/>
      <c r="B90" s="91"/>
      <c r="C90" s="91"/>
      <c r="D90" s="91"/>
      <c r="E90" s="92"/>
      <c r="F90" s="165" t="s">
        <v>127</v>
      </c>
      <c r="G90" s="165"/>
      <c r="H90" s="165"/>
      <c r="I90" s="165"/>
      <c r="J90" s="165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  <c r="AA90" s="78"/>
      <c r="AB90" s="78"/>
    </row>
    <row r="91" spans="1:28" ht="26" x14ac:dyDescent="0.6">
      <c r="A91" s="91"/>
      <c r="B91" s="91"/>
      <c r="C91" s="91"/>
      <c r="D91" s="91"/>
      <c r="E91" s="92"/>
      <c r="F91" s="79"/>
      <c r="G91" s="164" t="s">
        <v>157</v>
      </c>
      <c r="H91" s="164"/>
      <c r="I91" s="164"/>
      <c r="J91" s="164"/>
      <c r="K91" s="164"/>
      <c r="L91" s="164"/>
      <c r="M91" s="164"/>
      <c r="N91" s="164"/>
      <c r="O91" s="164"/>
      <c r="P91" s="164"/>
      <c r="Q91" s="164"/>
      <c r="R91" s="164"/>
      <c r="S91" s="164"/>
      <c r="T91" s="164"/>
      <c r="U91" s="164"/>
      <c r="V91" s="164"/>
      <c r="W91" s="164"/>
      <c r="X91" s="164"/>
      <c r="Y91" s="164"/>
      <c r="Z91" s="164"/>
      <c r="AA91" s="78"/>
      <c r="AB91" s="78"/>
    </row>
    <row r="92" spans="1:28" ht="26" x14ac:dyDescent="0.6">
      <c r="A92" s="91"/>
      <c r="B92" s="91"/>
      <c r="C92" s="91"/>
      <c r="D92" s="91"/>
      <c r="E92" s="92"/>
      <c r="F92" s="79"/>
      <c r="G92" s="164" t="s">
        <v>158</v>
      </c>
      <c r="H92" s="164"/>
      <c r="I92" s="164"/>
      <c r="J92" s="164"/>
      <c r="K92" s="164"/>
      <c r="L92" s="164"/>
      <c r="M92" s="164"/>
      <c r="N92" s="164"/>
      <c r="O92" s="164"/>
      <c r="P92" s="164"/>
      <c r="Q92" s="164"/>
      <c r="R92" s="164"/>
      <c r="S92" s="164"/>
      <c r="T92" s="164"/>
      <c r="U92" s="164"/>
      <c r="V92" s="164"/>
      <c r="W92" s="164"/>
      <c r="X92" s="164"/>
      <c r="Y92" s="164"/>
      <c r="Z92" s="164"/>
      <c r="AA92" s="78"/>
      <c r="AB92" s="78"/>
    </row>
    <row r="93" spans="1:28" ht="26" x14ac:dyDescent="0.6">
      <c r="A93" s="91"/>
      <c r="B93" s="91"/>
      <c r="C93" s="91"/>
      <c r="D93" s="91"/>
      <c r="E93" s="92"/>
      <c r="F93" s="79"/>
      <c r="G93" s="164" t="s">
        <v>159</v>
      </c>
      <c r="H93" s="164"/>
      <c r="I93" s="164"/>
      <c r="J93" s="164"/>
      <c r="K93" s="164"/>
      <c r="L93" s="164"/>
      <c r="M93" s="164"/>
      <c r="N93" s="164"/>
      <c r="O93" s="164"/>
      <c r="P93" s="164"/>
      <c r="Q93" s="164"/>
      <c r="R93" s="164"/>
      <c r="S93" s="164"/>
      <c r="T93" s="164"/>
      <c r="U93" s="164"/>
      <c r="V93" s="164"/>
      <c r="W93" s="164"/>
      <c r="X93" s="164"/>
      <c r="Y93" s="164"/>
      <c r="Z93" s="164"/>
      <c r="AA93" s="78"/>
      <c r="AB93" s="78"/>
    </row>
    <row r="94" spans="1:28" ht="31" x14ac:dyDescent="0.7">
      <c r="A94" s="91"/>
      <c r="B94" s="91"/>
      <c r="C94" s="91"/>
      <c r="D94" s="174" t="s">
        <v>49</v>
      </c>
      <c r="E94" s="174"/>
      <c r="F94" s="174"/>
      <c r="G94" s="91"/>
      <c r="H94" s="91"/>
      <c r="I94" s="91"/>
      <c r="J94" s="91"/>
      <c r="K94" s="91"/>
      <c r="L94" s="91"/>
      <c r="M94" s="91"/>
      <c r="N94" s="91"/>
      <c r="O94" s="91"/>
      <c r="P94" s="91"/>
      <c r="Q94" s="91"/>
      <c r="R94" s="91"/>
      <c r="S94" s="91"/>
      <c r="T94" s="91"/>
      <c r="U94" s="91"/>
      <c r="V94" s="91"/>
      <c r="W94" s="91"/>
      <c r="X94" s="91"/>
      <c r="Y94" s="91"/>
      <c r="Z94" s="91"/>
      <c r="AA94" s="91"/>
      <c r="AB94" s="91"/>
    </row>
    <row r="95" spans="1:28" ht="18.5" x14ac:dyDescent="0.35">
      <c r="A95" s="91"/>
      <c r="B95" s="91"/>
      <c r="C95" s="91"/>
      <c r="D95" s="91"/>
      <c r="E95" s="168" t="s">
        <v>106</v>
      </c>
      <c r="F95" s="168"/>
      <c r="G95" s="168"/>
      <c r="H95" s="168"/>
      <c r="I95" s="168"/>
      <c r="J95" s="168"/>
      <c r="K95" s="168"/>
      <c r="L95" s="168"/>
      <c r="M95" s="168"/>
      <c r="N95" s="168"/>
      <c r="O95" s="168"/>
      <c r="P95" s="168"/>
      <c r="Q95" s="168"/>
      <c r="R95" s="168"/>
      <c r="S95" s="168"/>
      <c r="T95" s="168"/>
      <c r="U95" s="168"/>
      <c r="V95" s="168"/>
      <c r="W95" s="168"/>
      <c r="X95" s="168"/>
      <c r="Y95" s="168"/>
      <c r="Z95" s="168"/>
      <c r="AA95" s="168"/>
      <c r="AB95" s="168"/>
    </row>
    <row r="96" spans="1:28" ht="26" x14ac:dyDescent="0.6">
      <c r="A96" s="91"/>
      <c r="B96" s="91"/>
      <c r="C96" s="91"/>
      <c r="D96" s="91"/>
      <c r="E96" s="92"/>
      <c r="F96" s="165" t="s">
        <v>127</v>
      </c>
      <c r="G96" s="165"/>
      <c r="H96" s="165"/>
      <c r="I96" s="165"/>
      <c r="J96" s="165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  <c r="AA96" s="78"/>
      <c r="AB96" s="78"/>
    </row>
    <row r="97" spans="1:28" ht="18.5" x14ac:dyDescent="0.35">
      <c r="A97" s="91"/>
      <c r="B97" s="91"/>
      <c r="C97" s="91"/>
      <c r="D97" s="91"/>
      <c r="E97" s="92"/>
      <c r="F97" s="78"/>
      <c r="G97" s="164" t="s">
        <v>160</v>
      </c>
      <c r="H97" s="164"/>
      <c r="I97" s="164"/>
      <c r="J97" s="164"/>
      <c r="K97" s="164"/>
      <c r="L97" s="164"/>
      <c r="M97" s="164"/>
      <c r="N97" s="164"/>
      <c r="O97" s="164"/>
      <c r="P97" s="164"/>
      <c r="Q97" s="164"/>
      <c r="R97" s="164"/>
      <c r="S97" s="164"/>
      <c r="T97" s="164"/>
      <c r="U97" s="164"/>
      <c r="V97" s="164"/>
      <c r="W97" s="164"/>
      <c r="X97" s="164"/>
      <c r="Y97" s="164"/>
      <c r="Z97" s="164"/>
      <c r="AA97" s="78"/>
      <c r="AB97" s="78"/>
    </row>
    <row r="98" spans="1:28" ht="18.5" x14ac:dyDescent="0.35">
      <c r="A98" s="91"/>
      <c r="B98" s="91"/>
      <c r="C98" s="91"/>
      <c r="D98" s="91"/>
      <c r="E98" s="92"/>
      <c r="F98" s="78"/>
      <c r="G98" s="164" t="s">
        <v>161</v>
      </c>
      <c r="H98" s="164"/>
      <c r="I98" s="164"/>
      <c r="J98" s="164"/>
      <c r="K98" s="164"/>
      <c r="L98" s="164"/>
      <c r="M98" s="164"/>
      <c r="N98" s="164"/>
      <c r="O98" s="164"/>
      <c r="P98" s="164"/>
      <c r="Q98" s="164"/>
      <c r="R98" s="164"/>
      <c r="S98" s="164"/>
      <c r="T98" s="164"/>
      <c r="U98" s="164"/>
      <c r="V98" s="164"/>
      <c r="W98" s="164"/>
      <c r="X98" s="164"/>
      <c r="Y98" s="164"/>
      <c r="Z98" s="164"/>
      <c r="AA98" s="78"/>
      <c r="AB98" s="78"/>
    </row>
    <row r="99" spans="1:28" ht="18.5" x14ac:dyDescent="0.45">
      <c r="A99" s="91"/>
      <c r="B99" s="91"/>
      <c r="C99" s="91"/>
      <c r="D99" s="91"/>
      <c r="E99" s="90"/>
      <c r="F99" s="78"/>
      <c r="G99" s="164" t="s">
        <v>162</v>
      </c>
      <c r="H99" s="164"/>
      <c r="I99" s="164"/>
      <c r="J99" s="164"/>
      <c r="K99" s="164"/>
      <c r="L99" s="164"/>
      <c r="M99" s="164"/>
      <c r="N99" s="164"/>
      <c r="O99" s="164"/>
      <c r="P99" s="164"/>
      <c r="Q99" s="164"/>
      <c r="R99" s="164"/>
      <c r="S99" s="164"/>
      <c r="T99" s="164"/>
      <c r="U99" s="164"/>
      <c r="V99" s="164"/>
      <c r="W99" s="164"/>
      <c r="X99" s="164"/>
      <c r="Y99" s="164"/>
      <c r="Z99" s="164"/>
      <c r="AA99" s="78"/>
      <c r="AB99" s="78"/>
    </row>
    <row r="100" spans="1:28" ht="47.5" x14ac:dyDescent="1.1000000000000001">
      <c r="A100" s="190" t="s">
        <v>3</v>
      </c>
      <c r="B100" s="190"/>
      <c r="C100" s="190"/>
      <c r="D100" s="190"/>
      <c r="E100" s="94"/>
      <c r="F100" s="95"/>
      <c r="G100" s="95"/>
      <c r="H100" s="95"/>
      <c r="I100" s="95"/>
      <c r="J100" s="95"/>
      <c r="K100" s="95"/>
      <c r="L100" s="95"/>
      <c r="M100" s="9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Z100" s="95"/>
      <c r="AA100" s="95"/>
      <c r="AB100" s="95"/>
    </row>
    <row r="101" spans="1:28" ht="36" x14ac:dyDescent="0.8">
      <c r="A101" s="95"/>
      <c r="B101" s="173" t="s">
        <v>107</v>
      </c>
      <c r="C101" s="173"/>
      <c r="D101" s="173"/>
      <c r="E101" s="173"/>
      <c r="F101" s="173"/>
      <c r="G101" s="173"/>
      <c r="H101" s="173"/>
      <c r="I101" s="95"/>
      <c r="J101" s="95"/>
      <c r="K101" s="95"/>
      <c r="L101" s="95"/>
      <c r="M101" s="9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Z101" s="95"/>
      <c r="AA101" s="95"/>
      <c r="AB101" s="95"/>
    </row>
    <row r="102" spans="1:28" ht="18.5" x14ac:dyDescent="0.35">
      <c r="A102" s="95"/>
      <c r="B102" s="95"/>
      <c r="C102" s="170" t="s">
        <v>95</v>
      </c>
      <c r="D102" s="170"/>
      <c r="E102" s="170"/>
      <c r="F102" s="170"/>
      <c r="G102" s="170"/>
      <c r="H102" s="170"/>
      <c r="I102" s="170"/>
      <c r="J102" s="170"/>
      <c r="K102" s="170"/>
      <c r="L102" s="170"/>
      <c r="M102" s="170"/>
      <c r="N102" s="170"/>
      <c r="O102" s="170"/>
      <c r="P102" s="170"/>
      <c r="Q102" s="170"/>
      <c r="R102" s="170"/>
      <c r="S102" s="170"/>
      <c r="T102" s="170"/>
      <c r="U102" s="170"/>
      <c r="V102" s="170"/>
      <c r="W102" s="170"/>
      <c r="X102" s="170"/>
      <c r="Y102" s="170"/>
      <c r="Z102" s="170"/>
      <c r="AA102" s="170"/>
      <c r="AB102" s="170"/>
    </row>
    <row r="103" spans="1:28" ht="18.5" x14ac:dyDescent="0.35">
      <c r="A103" s="95"/>
      <c r="B103" s="95"/>
      <c r="C103" s="171" t="s">
        <v>108</v>
      </c>
      <c r="D103" s="171"/>
      <c r="E103" s="171"/>
      <c r="F103" s="171"/>
      <c r="G103" s="171"/>
      <c r="H103" s="171"/>
      <c r="I103" s="171"/>
      <c r="J103" s="171"/>
      <c r="K103" s="171"/>
      <c r="L103" s="171"/>
      <c r="M103" s="171"/>
      <c r="N103" s="171"/>
      <c r="O103" s="171"/>
      <c r="P103" s="171"/>
      <c r="Q103" s="171"/>
      <c r="R103" s="171"/>
      <c r="S103" s="171"/>
      <c r="T103" s="171"/>
      <c r="U103" s="171"/>
      <c r="V103" s="171"/>
      <c r="W103" s="171"/>
      <c r="X103" s="171"/>
      <c r="Y103" s="171"/>
      <c r="Z103" s="171"/>
      <c r="AA103" s="171"/>
      <c r="AB103" s="171"/>
    </row>
    <row r="104" spans="1:28" ht="18.5" x14ac:dyDescent="0.45">
      <c r="A104" s="95"/>
      <c r="B104" s="95"/>
      <c r="C104" s="172" t="s">
        <v>185</v>
      </c>
      <c r="D104" s="172"/>
      <c r="E104" s="172"/>
      <c r="F104" s="172"/>
      <c r="G104" s="172"/>
      <c r="H104" s="172"/>
      <c r="I104" s="172"/>
      <c r="J104" s="172"/>
      <c r="K104" s="172"/>
      <c r="L104" s="172"/>
      <c r="M104" s="172"/>
      <c r="N104" s="172"/>
      <c r="O104" s="172"/>
      <c r="P104" s="172"/>
      <c r="Q104" s="172"/>
      <c r="R104" s="172"/>
      <c r="S104" s="172"/>
      <c r="T104" s="172"/>
      <c r="U104" s="172"/>
      <c r="V104" s="172"/>
      <c r="W104" s="172"/>
      <c r="X104" s="172"/>
      <c r="Y104" s="172"/>
      <c r="Z104" s="172"/>
      <c r="AA104" s="172"/>
      <c r="AB104" s="172"/>
    </row>
    <row r="105" spans="1:28" ht="31" x14ac:dyDescent="0.7">
      <c r="A105" s="95"/>
      <c r="B105" s="95"/>
      <c r="C105" s="95"/>
      <c r="D105" s="167" t="s">
        <v>48</v>
      </c>
      <c r="E105" s="167"/>
      <c r="F105" s="167"/>
      <c r="G105" s="95"/>
      <c r="H105" s="95"/>
      <c r="I105" s="95"/>
      <c r="J105" s="95"/>
      <c r="K105" s="95"/>
      <c r="L105" s="95"/>
      <c r="M105" s="9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Z105" s="95"/>
      <c r="AA105" s="95"/>
      <c r="AB105" s="95"/>
    </row>
    <row r="106" spans="1:28" ht="18.5" x14ac:dyDescent="0.45">
      <c r="A106" s="95"/>
      <c r="B106" s="95"/>
      <c r="C106" s="95"/>
      <c r="D106" s="95"/>
      <c r="E106" s="166" t="s">
        <v>109</v>
      </c>
      <c r="F106" s="166"/>
      <c r="G106" s="166"/>
      <c r="H106" s="166"/>
      <c r="I106" s="166"/>
      <c r="J106" s="166"/>
      <c r="K106" s="166"/>
      <c r="L106" s="166"/>
      <c r="M106" s="166"/>
      <c r="N106" s="166"/>
      <c r="O106" s="166"/>
      <c r="P106" s="166"/>
      <c r="Q106" s="166"/>
      <c r="R106" s="166"/>
      <c r="S106" s="166"/>
      <c r="T106" s="166"/>
      <c r="U106" s="166"/>
      <c r="V106" s="166"/>
      <c r="W106" s="166"/>
      <c r="X106" s="166"/>
      <c r="Y106" s="166"/>
      <c r="Z106" s="166"/>
      <c r="AA106" s="166"/>
      <c r="AB106" s="166"/>
    </row>
    <row r="107" spans="1:28" ht="26" x14ac:dyDescent="0.6">
      <c r="A107" s="95"/>
      <c r="B107" s="95"/>
      <c r="C107" s="95"/>
      <c r="D107" s="95"/>
      <c r="E107" s="96"/>
      <c r="F107" s="165" t="s">
        <v>127</v>
      </c>
      <c r="G107" s="165"/>
      <c r="H107" s="165"/>
      <c r="I107" s="165"/>
      <c r="J107" s="165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  <c r="AA107" s="78"/>
      <c r="AB107" s="78"/>
    </row>
    <row r="108" spans="1:28" ht="18.5" x14ac:dyDescent="0.45">
      <c r="A108" s="95"/>
      <c r="B108" s="95"/>
      <c r="C108" s="95"/>
      <c r="D108" s="95"/>
      <c r="E108" s="96"/>
      <c r="F108" s="80"/>
      <c r="G108" s="169" t="s">
        <v>173</v>
      </c>
      <c r="H108" s="169"/>
      <c r="I108" s="169"/>
      <c r="J108" s="169"/>
      <c r="K108" s="169"/>
      <c r="L108" s="169"/>
      <c r="M108" s="169"/>
      <c r="N108" s="169"/>
      <c r="O108" s="169"/>
      <c r="P108" s="169"/>
      <c r="Q108" s="169"/>
      <c r="R108" s="169"/>
      <c r="S108" s="169"/>
      <c r="T108" s="169"/>
      <c r="U108" s="169"/>
      <c r="V108" s="169"/>
      <c r="W108" s="169"/>
      <c r="X108" s="169"/>
      <c r="Y108" s="169"/>
      <c r="Z108" s="169"/>
      <c r="AA108" s="78"/>
      <c r="AB108" s="78"/>
    </row>
    <row r="109" spans="1:28" ht="18.5" x14ac:dyDescent="0.45">
      <c r="A109" s="95"/>
      <c r="B109" s="95"/>
      <c r="C109" s="95"/>
      <c r="D109" s="95"/>
      <c r="E109" s="96"/>
      <c r="F109" s="80"/>
      <c r="G109" s="169" t="s">
        <v>174</v>
      </c>
      <c r="H109" s="169"/>
      <c r="I109" s="169"/>
      <c r="J109" s="169"/>
      <c r="K109" s="169"/>
      <c r="L109" s="169"/>
      <c r="M109" s="169"/>
      <c r="N109" s="169"/>
      <c r="O109" s="169"/>
      <c r="P109" s="169"/>
      <c r="Q109" s="169"/>
      <c r="R109" s="169"/>
      <c r="S109" s="169"/>
      <c r="T109" s="169"/>
      <c r="U109" s="169"/>
      <c r="V109" s="169"/>
      <c r="W109" s="169"/>
      <c r="X109" s="169"/>
      <c r="Y109" s="169"/>
      <c r="Z109" s="169"/>
      <c r="AA109" s="78"/>
      <c r="AB109" s="78"/>
    </row>
    <row r="110" spans="1:28" ht="18.5" x14ac:dyDescent="0.45">
      <c r="A110" s="95"/>
      <c r="B110" s="95"/>
      <c r="C110" s="95"/>
      <c r="D110" s="95"/>
      <c r="E110" s="96"/>
      <c r="F110" s="78"/>
      <c r="G110" s="169" t="s">
        <v>175</v>
      </c>
      <c r="H110" s="169"/>
      <c r="I110" s="169"/>
      <c r="J110" s="169"/>
      <c r="K110" s="169"/>
      <c r="L110" s="169"/>
      <c r="M110" s="169"/>
      <c r="N110" s="169"/>
      <c r="O110" s="169"/>
      <c r="P110" s="169"/>
      <c r="Q110" s="169"/>
      <c r="R110" s="169"/>
      <c r="S110" s="169"/>
      <c r="T110" s="169"/>
      <c r="U110" s="169"/>
      <c r="V110" s="169"/>
      <c r="W110" s="169"/>
      <c r="X110" s="169"/>
      <c r="Y110" s="169"/>
      <c r="Z110" s="169"/>
      <c r="AA110" s="78"/>
      <c r="AB110" s="78"/>
    </row>
    <row r="111" spans="1:28" ht="31" x14ac:dyDescent="0.7">
      <c r="A111" s="95"/>
      <c r="B111" s="95"/>
      <c r="C111" s="95"/>
      <c r="D111" s="167" t="s">
        <v>5</v>
      </c>
      <c r="E111" s="167"/>
      <c r="F111" s="167"/>
      <c r="G111" s="95"/>
      <c r="H111" s="95"/>
      <c r="I111" s="95"/>
      <c r="J111" s="95"/>
      <c r="K111" s="95"/>
      <c r="L111" s="95"/>
      <c r="M111" s="9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Z111" s="95"/>
      <c r="AA111" s="95"/>
      <c r="AB111" s="95"/>
    </row>
    <row r="112" spans="1:28" ht="42" customHeight="1" x14ac:dyDescent="0.35">
      <c r="A112" s="95"/>
      <c r="B112" s="95"/>
      <c r="C112" s="95"/>
      <c r="D112" s="95"/>
      <c r="E112" s="177" t="s">
        <v>110</v>
      </c>
      <c r="F112" s="177"/>
      <c r="G112" s="177"/>
      <c r="H112" s="177"/>
      <c r="I112" s="177"/>
      <c r="J112" s="177"/>
      <c r="K112" s="177"/>
      <c r="L112" s="177"/>
      <c r="M112" s="177"/>
      <c r="N112" s="177"/>
      <c r="O112" s="177"/>
      <c r="P112" s="177"/>
      <c r="Q112" s="177"/>
      <c r="R112" s="177"/>
      <c r="S112" s="177"/>
      <c r="T112" s="177"/>
      <c r="U112" s="177"/>
      <c r="V112" s="177"/>
      <c r="W112" s="177"/>
      <c r="X112" s="177"/>
      <c r="Y112" s="177"/>
      <c r="Z112" s="177"/>
      <c r="AA112" s="177"/>
      <c r="AB112" s="177"/>
    </row>
    <row r="113" spans="1:28" ht="26" x14ac:dyDescent="0.6">
      <c r="A113" s="95"/>
      <c r="B113" s="95"/>
      <c r="C113" s="95"/>
      <c r="D113" s="95"/>
      <c r="E113" s="96"/>
      <c r="F113" s="165" t="s">
        <v>127</v>
      </c>
      <c r="G113" s="165"/>
      <c r="H113" s="165"/>
      <c r="I113" s="165"/>
      <c r="J113" s="165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  <c r="AA113" s="78"/>
      <c r="AB113" s="78"/>
    </row>
    <row r="114" spans="1:28" ht="18.5" x14ac:dyDescent="0.45">
      <c r="A114" s="95"/>
      <c r="B114" s="95"/>
      <c r="C114" s="95"/>
      <c r="D114" s="95"/>
      <c r="E114" s="96"/>
      <c r="F114" s="78"/>
      <c r="G114" s="164" t="s">
        <v>176</v>
      </c>
      <c r="H114" s="164"/>
      <c r="I114" s="164"/>
      <c r="J114" s="164"/>
      <c r="K114" s="164"/>
      <c r="L114" s="164"/>
      <c r="M114" s="164"/>
      <c r="N114" s="164"/>
      <c r="O114" s="164"/>
      <c r="P114" s="164"/>
      <c r="Q114" s="164"/>
      <c r="R114" s="164"/>
      <c r="S114" s="164"/>
      <c r="T114" s="164"/>
      <c r="U114" s="164"/>
      <c r="V114" s="164"/>
      <c r="W114" s="164"/>
      <c r="X114" s="164"/>
      <c r="Y114" s="164"/>
      <c r="Z114" s="164"/>
      <c r="AA114" s="78"/>
      <c r="AB114" s="78"/>
    </row>
    <row r="115" spans="1:28" ht="18.5" x14ac:dyDescent="0.45">
      <c r="A115" s="95"/>
      <c r="B115" s="95"/>
      <c r="C115" s="95"/>
      <c r="D115" s="95"/>
      <c r="E115" s="96"/>
      <c r="F115" s="78"/>
      <c r="G115" s="164" t="s">
        <v>177</v>
      </c>
      <c r="H115" s="164"/>
      <c r="I115" s="164"/>
      <c r="J115" s="164"/>
      <c r="K115" s="164"/>
      <c r="L115" s="164"/>
      <c r="M115" s="164"/>
      <c r="N115" s="164"/>
      <c r="O115" s="164"/>
      <c r="P115" s="164"/>
      <c r="Q115" s="164"/>
      <c r="R115" s="164"/>
      <c r="S115" s="164"/>
      <c r="T115" s="164"/>
      <c r="U115" s="164"/>
      <c r="V115" s="164"/>
      <c r="W115" s="164"/>
      <c r="X115" s="164"/>
      <c r="Y115" s="164"/>
      <c r="Z115" s="164"/>
      <c r="AA115" s="78"/>
      <c r="AB115" s="78"/>
    </row>
    <row r="116" spans="1:28" ht="18.5" x14ac:dyDescent="0.45">
      <c r="A116" s="95"/>
      <c r="B116" s="95"/>
      <c r="C116" s="95"/>
      <c r="D116" s="95"/>
      <c r="E116" s="96"/>
      <c r="F116" s="78"/>
      <c r="G116" s="164" t="s">
        <v>178</v>
      </c>
      <c r="H116" s="164"/>
      <c r="I116" s="164"/>
      <c r="J116" s="164"/>
      <c r="K116" s="164"/>
      <c r="L116" s="164"/>
      <c r="M116" s="164"/>
      <c r="N116" s="164"/>
      <c r="O116" s="164"/>
      <c r="P116" s="164"/>
      <c r="Q116" s="164"/>
      <c r="R116" s="164"/>
      <c r="S116" s="164"/>
      <c r="T116" s="164"/>
      <c r="U116" s="164"/>
      <c r="V116" s="164"/>
      <c r="W116" s="164"/>
      <c r="X116" s="164"/>
      <c r="Y116" s="164"/>
      <c r="Z116" s="164"/>
      <c r="AA116" s="78"/>
      <c r="AB116" s="78"/>
    </row>
    <row r="117" spans="1:28" ht="31" x14ac:dyDescent="0.7">
      <c r="A117" s="95"/>
      <c r="B117" s="95"/>
      <c r="C117" s="95"/>
      <c r="D117" s="167" t="s">
        <v>6</v>
      </c>
      <c r="E117" s="167"/>
      <c r="F117" s="167"/>
      <c r="G117" s="95"/>
      <c r="H117" s="95"/>
      <c r="I117" s="95"/>
      <c r="J117" s="95"/>
      <c r="K117" s="95"/>
      <c r="L117" s="95"/>
      <c r="M117" s="9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Z117" s="95"/>
      <c r="AA117" s="95"/>
      <c r="AB117" s="95"/>
    </row>
    <row r="118" spans="1:28" ht="18.5" x14ac:dyDescent="0.45">
      <c r="A118" s="95"/>
      <c r="B118" s="95"/>
      <c r="C118" s="95"/>
      <c r="D118" s="95"/>
      <c r="E118" s="166" t="s">
        <v>111</v>
      </c>
      <c r="F118" s="166"/>
      <c r="G118" s="166"/>
      <c r="H118" s="166"/>
      <c r="I118" s="166"/>
      <c r="J118" s="166"/>
      <c r="K118" s="166"/>
      <c r="L118" s="166"/>
      <c r="M118" s="166"/>
      <c r="N118" s="166"/>
      <c r="O118" s="166"/>
      <c r="P118" s="166"/>
      <c r="Q118" s="166"/>
      <c r="R118" s="166"/>
      <c r="S118" s="166"/>
      <c r="T118" s="166"/>
      <c r="U118" s="166"/>
      <c r="V118" s="166"/>
      <c r="W118" s="166"/>
      <c r="X118" s="166"/>
      <c r="Y118" s="166"/>
      <c r="Z118" s="166"/>
      <c r="AA118" s="166"/>
      <c r="AB118" s="166"/>
    </row>
    <row r="119" spans="1:28" ht="26" x14ac:dyDescent="0.6">
      <c r="A119" s="95"/>
      <c r="B119" s="95"/>
      <c r="C119" s="95"/>
      <c r="D119" s="95"/>
      <c r="E119" s="96"/>
      <c r="F119" s="165" t="s">
        <v>127</v>
      </c>
      <c r="G119" s="165"/>
      <c r="H119" s="165"/>
      <c r="I119" s="165"/>
      <c r="J119" s="165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  <c r="AA119" s="78"/>
      <c r="AB119" s="78"/>
    </row>
    <row r="120" spans="1:28" ht="18.5" x14ac:dyDescent="0.45">
      <c r="A120" s="95"/>
      <c r="B120" s="95"/>
      <c r="C120" s="95"/>
      <c r="D120" s="95"/>
      <c r="E120" s="96"/>
      <c r="F120" s="78"/>
      <c r="G120" s="164" t="s">
        <v>179</v>
      </c>
      <c r="H120" s="164"/>
      <c r="I120" s="164"/>
      <c r="J120" s="164"/>
      <c r="K120" s="164"/>
      <c r="L120" s="164"/>
      <c r="M120" s="164"/>
      <c r="N120" s="164"/>
      <c r="O120" s="164"/>
      <c r="P120" s="164"/>
      <c r="Q120" s="164"/>
      <c r="R120" s="164"/>
      <c r="S120" s="164"/>
      <c r="T120" s="164"/>
      <c r="U120" s="164"/>
      <c r="V120" s="164"/>
      <c r="W120" s="164"/>
      <c r="X120" s="164"/>
      <c r="Y120" s="164"/>
      <c r="Z120" s="164"/>
      <c r="AA120" s="78"/>
      <c r="AB120" s="78"/>
    </row>
    <row r="121" spans="1:28" ht="18.5" x14ac:dyDescent="0.45">
      <c r="A121" s="95"/>
      <c r="B121" s="95"/>
      <c r="C121" s="95"/>
      <c r="D121" s="95"/>
      <c r="E121" s="96"/>
      <c r="F121" s="78"/>
      <c r="G121" s="164" t="s">
        <v>180</v>
      </c>
      <c r="H121" s="164"/>
      <c r="I121" s="164"/>
      <c r="J121" s="164"/>
      <c r="K121" s="164"/>
      <c r="L121" s="164"/>
      <c r="M121" s="164"/>
      <c r="N121" s="164"/>
      <c r="O121" s="164"/>
      <c r="P121" s="164"/>
      <c r="Q121" s="164"/>
      <c r="R121" s="164"/>
      <c r="S121" s="164"/>
      <c r="T121" s="164"/>
      <c r="U121" s="164"/>
      <c r="V121" s="164"/>
      <c r="W121" s="164"/>
      <c r="X121" s="164"/>
      <c r="Y121" s="164"/>
      <c r="Z121" s="164"/>
      <c r="AA121" s="78"/>
      <c r="AB121" s="78"/>
    </row>
    <row r="122" spans="1:28" ht="18.5" x14ac:dyDescent="0.45">
      <c r="A122" s="95"/>
      <c r="B122" s="95"/>
      <c r="C122" s="95"/>
      <c r="D122" s="95"/>
      <c r="E122" s="96"/>
      <c r="F122" s="78"/>
      <c r="G122" s="164" t="s">
        <v>181</v>
      </c>
      <c r="H122" s="164"/>
      <c r="I122" s="164"/>
      <c r="J122" s="164"/>
      <c r="K122" s="164"/>
      <c r="L122" s="164"/>
      <c r="M122" s="164"/>
      <c r="N122" s="164"/>
      <c r="O122" s="164"/>
      <c r="P122" s="164"/>
      <c r="Q122" s="164"/>
      <c r="R122" s="164"/>
      <c r="S122" s="164"/>
      <c r="T122" s="164"/>
      <c r="U122" s="164"/>
      <c r="V122" s="164"/>
      <c r="W122" s="164"/>
      <c r="X122" s="164"/>
      <c r="Y122" s="164"/>
      <c r="Z122" s="164"/>
      <c r="AA122" s="78"/>
      <c r="AB122" s="78"/>
    </row>
    <row r="123" spans="1:28" ht="31" x14ac:dyDescent="0.7">
      <c r="A123" s="95"/>
      <c r="B123" s="95"/>
      <c r="C123" s="95"/>
      <c r="D123" s="167" t="s">
        <v>49</v>
      </c>
      <c r="E123" s="167"/>
      <c r="F123" s="167"/>
      <c r="G123" s="95"/>
      <c r="H123" s="95"/>
      <c r="I123" s="95"/>
      <c r="J123" s="95"/>
      <c r="K123" s="95"/>
      <c r="L123" s="95"/>
      <c r="M123" s="9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Z123" s="95"/>
      <c r="AA123" s="95"/>
      <c r="AB123" s="95"/>
    </row>
    <row r="124" spans="1:28" ht="18.5" x14ac:dyDescent="0.45">
      <c r="A124" s="95"/>
      <c r="B124" s="95"/>
      <c r="C124" s="95"/>
      <c r="D124" s="95"/>
      <c r="E124" s="166" t="s">
        <v>112</v>
      </c>
      <c r="F124" s="166"/>
      <c r="G124" s="166"/>
      <c r="H124" s="166"/>
      <c r="I124" s="166"/>
      <c r="J124" s="166"/>
      <c r="K124" s="166"/>
      <c r="L124" s="166"/>
      <c r="M124" s="166"/>
      <c r="N124" s="166"/>
      <c r="O124" s="166"/>
      <c r="P124" s="166"/>
      <c r="Q124" s="166"/>
      <c r="R124" s="166"/>
      <c r="S124" s="166"/>
      <c r="T124" s="166"/>
      <c r="U124" s="166"/>
      <c r="V124" s="166"/>
      <c r="W124" s="166"/>
      <c r="X124" s="166"/>
      <c r="Y124" s="166"/>
      <c r="Z124" s="166"/>
      <c r="AA124" s="166"/>
      <c r="AB124" s="166"/>
    </row>
    <row r="125" spans="1:28" ht="26" x14ac:dyDescent="0.6">
      <c r="A125" s="95"/>
      <c r="B125" s="95"/>
      <c r="C125" s="95"/>
      <c r="D125" s="95"/>
      <c r="E125" s="96"/>
      <c r="F125" s="165" t="s">
        <v>127</v>
      </c>
      <c r="G125" s="165"/>
      <c r="H125" s="165"/>
      <c r="I125" s="165"/>
      <c r="J125" s="165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  <c r="AA125" s="78"/>
      <c r="AB125" s="78"/>
    </row>
    <row r="126" spans="1:28" ht="18.5" x14ac:dyDescent="0.45">
      <c r="A126" s="95"/>
      <c r="B126" s="95"/>
      <c r="C126" s="95"/>
      <c r="D126" s="95"/>
      <c r="E126" s="96"/>
      <c r="F126" s="78"/>
      <c r="G126" s="164" t="s">
        <v>179</v>
      </c>
      <c r="H126" s="164"/>
      <c r="I126" s="164"/>
      <c r="J126" s="164"/>
      <c r="K126" s="164"/>
      <c r="L126" s="164"/>
      <c r="M126" s="164"/>
      <c r="N126" s="164"/>
      <c r="O126" s="164"/>
      <c r="P126" s="164"/>
      <c r="Q126" s="164"/>
      <c r="R126" s="164"/>
      <c r="S126" s="164"/>
      <c r="T126" s="164"/>
      <c r="U126" s="164"/>
      <c r="V126" s="164"/>
      <c r="W126" s="164"/>
      <c r="X126" s="164"/>
      <c r="Y126" s="164"/>
      <c r="Z126" s="164"/>
      <c r="AA126" s="78"/>
      <c r="AB126" s="78"/>
    </row>
    <row r="127" spans="1:28" ht="18.5" x14ac:dyDescent="0.45">
      <c r="A127" s="95"/>
      <c r="B127" s="95"/>
      <c r="C127" s="95"/>
      <c r="D127" s="95"/>
      <c r="E127" s="96"/>
      <c r="F127" s="78"/>
      <c r="G127" s="164" t="s">
        <v>180</v>
      </c>
      <c r="H127" s="164"/>
      <c r="I127" s="164"/>
      <c r="J127" s="164"/>
      <c r="K127" s="164"/>
      <c r="L127" s="164"/>
      <c r="M127" s="164"/>
      <c r="N127" s="164"/>
      <c r="O127" s="164"/>
      <c r="P127" s="164"/>
      <c r="Q127" s="164"/>
      <c r="R127" s="164"/>
      <c r="S127" s="164"/>
      <c r="T127" s="164"/>
      <c r="U127" s="164"/>
      <c r="V127" s="164"/>
      <c r="W127" s="164"/>
      <c r="X127" s="164"/>
      <c r="Y127" s="164"/>
      <c r="Z127" s="164"/>
      <c r="AA127" s="78"/>
      <c r="AB127" s="78"/>
    </row>
    <row r="128" spans="1:28" ht="18.5" x14ac:dyDescent="0.45">
      <c r="A128" s="95"/>
      <c r="B128" s="95"/>
      <c r="C128" s="95"/>
      <c r="D128" s="95"/>
      <c r="E128" s="96"/>
      <c r="F128" s="78"/>
      <c r="G128" s="164" t="s">
        <v>181</v>
      </c>
      <c r="H128" s="164"/>
      <c r="I128" s="164"/>
      <c r="J128" s="164"/>
      <c r="K128" s="164"/>
      <c r="L128" s="164"/>
      <c r="M128" s="164"/>
      <c r="N128" s="164"/>
      <c r="O128" s="164"/>
      <c r="P128" s="164"/>
      <c r="Q128" s="164"/>
      <c r="R128" s="164"/>
      <c r="S128" s="164"/>
      <c r="T128" s="164"/>
      <c r="U128" s="164"/>
      <c r="V128" s="164"/>
      <c r="W128" s="164"/>
      <c r="X128" s="164"/>
      <c r="Y128" s="164"/>
      <c r="Z128" s="164"/>
      <c r="AA128" s="78"/>
      <c r="AB128" s="78"/>
    </row>
    <row r="129" spans="1:28" ht="31" x14ac:dyDescent="0.7">
      <c r="A129" s="95"/>
      <c r="B129" s="95"/>
      <c r="C129" s="95"/>
      <c r="D129" s="167" t="s">
        <v>50</v>
      </c>
      <c r="E129" s="167"/>
      <c r="F129" s="167"/>
      <c r="G129" s="95"/>
      <c r="H129" s="95"/>
      <c r="I129" s="95"/>
      <c r="J129" s="95"/>
      <c r="K129" s="95"/>
      <c r="L129" s="95"/>
      <c r="M129" s="9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Z129" s="95"/>
      <c r="AA129" s="95"/>
      <c r="AB129" s="95"/>
    </row>
    <row r="130" spans="1:28" ht="18.5" x14ac:dyDescent="0.45">
      <c r="A130" s="95"/>
      <c r="B130" s="95"/>
      <c r="C130" s="95"/>
      <c r="D130" s="95"/>
      <c r="E130" s="166" t="s">
        <v>113</v>
      </c>
      <c r="F130" s="166"/>
      <c r="G130" s="166"/>
      <c r="H130" s="166"/>
      <c r="I130" s="166"/>
      <c r="J130" s="166"/>
      <c r="K130" s="166"/>
      <c r="L130" s="166"/>
      <c r="M130" s="166"/>
      <c r="N130" s="166"/>
      <c r="O130" s="166"/>
      <c r="P130" s="166"/>
      <c r="Q130" s="166"/>
      <c r="R130" s="166"/>
      <c r="S130" s="166"/>
      <c r="T130" s="166"/>
      <c r="U130" s="166"/>
      <c r="V130" s="166"/>
      <c r="W130" s="166"/>
      <c r="X130" s="166"/>
      <c r="Y130" s="166"/>
      <c r="Z130" s="166"/>
      <c r="AA130" s="166"/>
      <c r="AB130" s="166"/>
    </row>
    <row r="131" spans="1:28" ht="26" x14ac:dyDescent="0.6">
      <c r="A131" s="95"/>
      <c r="B131" s="95"/>
      <c r="C131" s="95"/>
      <c r="D131" s="95"/>
      <c r="E131" s="95"/>
      <c r="F131" s="165" t="s">
        <v>127</v>
      </c>
      <c r="G131" s="165"/>
      <c r="H131" s="165"/>
      <c r="I131" s="165"/>
      <c r="J131" s="165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  <c r="AA131" s="78"/>
      <c r="AB131" s="78"/>
    </row>
    <row r="132" spans="1:28" ht="16" x14ac:dyDescent="0.35">
      <c r="A132" s="95"/>
      <c r="B132" s="95"/>
      <c r="C132" s="95"/>
      <c r="D132" s="95"/>
      <c r="E132" s="95"/>
      <c r="F132" s="78"/>
      <c r="G132" s="164" t="s">
        <v>179</v>
      </c>
      <c r="H132" s="164"/>
      <c r="I132" s="164"/>
      <c r="J132" s="164"/>
      <c r="K132" s="164"/>
      <c r="L132" s="164"/>
      <c r="M132" s="164"/>
      <c r="N132" s="164"/>
      <c r="O132" s="164"/>
      <c r="P132" s="164"/>
      <c r="Q132" s="164"/>
      <c r="R132" s="164"/>
      <c r="S132" s="164"/>
      <c r="T132" s="164"/>
      <c r="U132" s="164"/>
      <c r="V132" s="164"/>
      <c r="W132" s="164"/>
      <c r="X132" s="164"/>
      <c r="Y132" s="164"/>
      <c r="Z132" s="164"/>
      <c r="AA132" s="78"/>
      <c r="AB132" s="78"/>
    </row>
    <row r="133" spans="1:28" ht="16" x14ac:dyDescent="0.35">
      <c r="A133" s="95"/>
      <c r="B133" s="95"/>
      <c r="C133" s="95"/>
      <c r="D133" s="95"/>
      <c r="E133" s="95"/>
      <c r="F133" s="78"/>
      <c r="G133" s="164" t="s">
        <v>180</v>
      </c>
      <c r="H133" s="164"/>
      <c r="I133" s="164"/>
      <c r="J133" s="164"/>
      <c r="K133" s="164"/>
      <c r="L133" s="164"/>
      <c r="M133" s="164"/>
      <c r="N133" s="164"/>
      <c r="O133" s="164"/>
      <c r="P133" s="164"/>
      <c r="Q133" s="164"/>
      <c r="R133" s="164"/>
      <c r="S133" s="164"/>
      <c r="T133" s="164"/>
      <c r="U133" s="164"/>
      <c r="V133" s="164"/>
      <c r="W133" s="164"/>
      <c r="X133" s="164"/>
      <c r="Y133" s="164"/>
      <c r="Z133" s="164"/>
      <c r="AA133" s="78"/>
      <c r="AB133" s="78"/>
    </row>
    <row r="134" spans="1:28" ht="16" x14ac:dyDescent="0.35">
      <c r="A134" s="95"/>
      <c r="B134" s="95"/>
      <c r="C134" s="95"/>
      <c r="D134" s="95"/>
      <c r="E134" s="95"/>
      <c r="F134" s="78"/>
      <c r="G134" s="164" t="s">
        <v>181</v>
      </c>
      <c r="H134" s="164"/>
      <c r="I134" s="164"/>
      <c r="J134" s="164"/>
      <c r="K134" s="164"/>
      <c r="L134" s="164"/>
      <c r="M134" s="164"/>
      <c r="N134" s="164"/>
      <c r="O134" s="164"/>
      <c r="P134" s="164"/>
      <c r="Q134" s="164"/>
      <c r="R134" s="164"/>
      <c r="S134" s="164"/>
      <c r="T134" s="164"/>
      <c r="U134" s="164"/>
      <c r="V134" s="164"/>
      <c r="W134" s="164"/>
      <c r="X134" s="164"/>
      <c r="Y134" s="164"/>
      <c r="Z134" s="164"/>
      <c r="AA134" s="78"/>
      <c r="AB134" s="78"/>
    </row>
  </sheetData>
  <sheetProtection sheet="1" objects="1" scenarios="1" selectLockedCells="1"/>
  <mergeCells count="134">
    <mergeCell ref="A1:D1"/>
    <mergeCell ref="A36:D36"/>
    <mergeCell ref="A71:D71"/>
    <mergeCell ref="E7:AB7"/>
    <mergeCell ref="E13:AB13"/>
    <mergeCell ref="E19:AB19"/>
    <mergeCell ref="E25:AB25"/>
    <mergeCell ref="A100:D100"/>
    <mergeCell ref="B2:H2"/>
    <mergeCell ref="B37:H37"/>
    <mergeCell ref="B72:H72"/>
    <mergeCell ref="C75:AB75"/>
    <mergeCell ref="D59:F59"/>
    <mergeCell ref="D65:F65"/>
    <mergeCell ref="C38:AB38"/>
    <mergeCell ref="C39:AB39"/>
    <mergeCell ref="D24:F24"/>
    <mergeCell ref="D12:F12"/>
    <mergeCell ref="D18:F18"/>
    <mergeCell ref="C3:AB3"/>
    <mergeCell ref="C4:AB4"/>
    <mergeCell ref="C5:AB5"/>
    <mergeCell ref="D6:F6"/>
    <mergeCell ref="G9:Z9"/>
    <mergeCell ref="G10:Z10"/>
    <mergeCell ref="G11:Z11"/>
    <mergeCell ref="F8:J8"/>
    <mergeCell ref="F14:J14"/>
    <mergeCell ref="G15:Z15"/>
    <mergeCell ref="G16:Z16"/>
    <mergeCell ref="F49:J49"/>
    <mergeCell ref="F55:J55"/>
    <mergeCell ref="F61:J61"/>
    <mergeCell ref="G58:Z58"/>
    <mergeCell ref="F20:J20"/>
    <mergeCell ref="F26:J26"/>
    <mergeCell ref="F32:J32"/>
    <mergeCell ref="F43:J43"/>
    <mergeCell ref="E31:AB31"/>
    <mergeCell ref="D30:F30"/>
    <mergeCell ref="G28:Z28"/>
    <mergeCell ref="G17:Z17"/>
    <mergeCell ref="G21:AB21"/>
    <mergeCell ref="G22:AB22"/>
    <mergeCell ref="G23:AB23"/>
    <mergeCell ref="G27:Z27"/>
    <mergeCell ref="C74:AB74"/>
    <mergeCell ref="G97:Z97"/>
    <mergeCell ref="E54:AB54"/>
    <mergeCell ref="E60:AB60"/>
    <mergeCell ref="G52:Z52"/>
    <mergeCell ref="G56:Z56"/>
    <mergeCell ref="G57:Z57"/>
    <mergeCell ref="G29:Z29"/>
    <mergeCell ref="G33:Z33"/>
    <mergeCell ref="G34:Z34"/>
    <mergeCell ref="G35:Z35"/>
    <mergeCell ref="G44:Z44"/>
    <mergeCell ref="G46:Z46"/>
    <mergeCell ref="G50:Z50"/>
    <mergeCell ref="G51:Z51"/>
    <mergeCell ref="C40:AB40"/>
    <mergeCell ref="C73:AB73"/>
    <mergeCell ref="E66:AB66"/>
    <mergeCell ref="E42:AB42"/>
    <mergeCell ref="D41:F41"/>
    <mergeCell ref="D47:F47"/>
    <mergeCell ref="D53:F53"/>
    <mergeCell ref="G45:Z45"/>
    <mergeCell ref="G62:Z62"/>
    <mergeCell ref="G63:Z63"/>
    <mergeCell ref="G64:Z64"/>
    <mergeCell ref="F67:J67"/>
    <mergeCell ref="E48:AB48"/>
    <mergeCell ref="D76:F76"/>
    <mergeCell ref="G68:Z68"/>
    <mergeCell ref="G69:Z69"/>
    <mergeCell ref="G70:Z70"/>
    <mergeCell ref="F119:J119"/>
    <mergeCell ref="G80:Z80"/>
    <mergeCell ref="G81:Z81"/>
    <mergeCell ref="G85:Z85"/>
    <mergeCell ref="D82:F82"/>
    <mergeCell ref="F78:J78"/>
    <mergeCell ref="F84:J84"/>
    <mergeCell ref="E77:AB77"/>
    <mergeCell ref="G79:Z79"/>
    <mergeCell ref="E83:AB83"/>
    <mergeCell ref="D94:F94"/>
    <mergeCell ref="E112:AB112"/>
    <mergeCell ref="E118:AB118"/>
    <mergeCell ref="G109:Z109"/>
    <mergeCell ref="G110:Z110"/>
    <mergeCell ref="G114:Z114"/>
    <mergeCell ref="D117:F117"/>
    <mergeCell ref="D88:F88"/>
    <mergeCell ref="F90:J90"/>
    <mergeCell ref="F96:J96"/>
    <mergeCell ref="D105:F105"/>
    <mergeCell ref="G98:Z98"/>
    <mergeCell ref="G99:Z99"/>
    <mergeCell ref="D111:F111"/>
    <mergeCell ref="G116:Z116"/>
    <mergeCell ref="G86:Z86"/>
    <mergeCell ref="G87:Z87"/>
    <mergeCell ref="G91:Z91"/>
    <mergeCell ref="E95:AB95"/>
    <mergeCell ref="G108:Z108"/>
    <mergeCell ref="E106:AB106"/>
    <mergeCell ref="C102:AB102"/>
    <mergeCell ref="F107:J107"/>
    <mergeCell ref="G115:Z115"/>
    <mergeCell ref="F113:J113"/>
    <mergeCell ref="C103:AB103"/>
    <mergeCell ref="C104:AB104"/>
    <mergeCell ref="B101:H101"/>
    <mergeCell ref="G92:Z92"/>
    <mergeCell ref="G93:Z93"/>
    <mergeCell ref="E89:AB89"/>
    <mergeCell ref="G120:Z120"/>
    <mergeCell ref="G133:Z133"/>
    <mergeCell ref="G134:Z134"/>
    <mergeCell ref="G121:Z121"/>
    <mergeCell ref="G122:Z122"/>
    <mergeCell ref="G126:Z126"/>
    <mergeCell ref="G127:Z127"/>
    <mergeCell ref="G128:Z128"/>
    <mergeCell ref="G132:Z132"/>
    <mergeCell ref="F125:J125"/>
    <mergeCell ref="F131:J131"/>
    <mergeCell ref="E124:AB124"/>
    <mergeCell ref="E130:AB130"/>
    <mergeCell ref="D123:F123"/>
    <mergeCell ref="D129:F12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95AE3-0791-435C-B5C6-6053712A0C80}">
  <dimension ref="A1:W60"/>
  <sheetViews>
    <sheetView workbookViewId="0">
      <selection activeCell="M12" sqref="M12"/>
    </sheetView>
  </sheetViews>
  <sheetFormatPr defaultColWidth="12" defaultRowHeight="14.5" x14ac:dyDescent="0.35"/>
  <cols>
    <col min="1" max="1" width="4.1796875" style="13" customWidth="1"/>
    <col min="2" max="2" width="12.81640625" style="13" bestFit="1" customWidth="1"/>
    <col min="3" max="5" width="15.54296875" style="13" bestFit="1" customWidth="1"/>
    <col min="6" max="6" width="14.81640625" style="13" customWidth="1"/>
    <col min="7" max="7" width="7.81640625" style="13" bestFit="1" customWidth="1"/>
    <col min="8" max="8" width="6.1796875" style="13" bestFit="1" customWidth="1"/>
    <col min="9" max="9" width="15.54296875" style="13" bestFit="1" customWidth="1"/>
    <col min="10" max="10" width="6.7265625" style="13" bestFit="1" customWidth="1"/>
    <col min="11" max="11" width="14.1796875" style="13" customWidth="1"/>
    <col min="12" max="12" width="14.453125" style="13" customWidth="1"/>
    <col min="13" max="13" width="13.7265625" style="13" customWidth="1"/>
    <col min="14" max="14" width="15.54296875" style="13" customWidth="1"/>
    <col min="15" max="15" width="13.7265625" style="13" customWidth="1"/>
    <col min="16" max="16" width="14.453125" style="13" customWidth="1"/>
    <col min="17" max="17" width="12" style="13" customWidth="1"/>
    <col min="18" max="18" width="15.1796875" style="13" customWidth="1"/>
    <col min="19" max="19" width="12.81640625" style="13" customWidth="1"/>
    <col min="20" max="20" width="10.7265625" style="13" bestFit="1" customWidth="1"/>
    <col min="21" max="21" width="14.26953125" style="13" customWidth="1"/>
    <col min="22" max="22" width="4.453125" style="13" customWidth="1"/>
    <col min="23" max="16384" width="12" style="13"/>
  </cols>
  <sheetData>
    <row r="1" spans="1:23" ht="15" thickBot="1" x14ac:dyDescent="0.4">
      <c r="A1" s="34"/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</row>
    <row r="2" spans="1:23" ht="59" thickTop="1" thickBot="1" x14ac:dyDescent="0.4">
      <c r="A2" s="34"/>
      <c r="B2" s="12"/>
      <c r="C2" s="41" t="s">
        <v>43</v>
      </c>
      <c r="D2" s="42" t="s">
        <v>44</v>
      </c>
      <c r="E2" s="42" t="s">
        <v>45</v>
      </c>
      <c r="F2" s="43" t="s">
        <v>3</v>
      </c>
      <c r="G2" s="34"/>
      <c r="H2" s="133" t="s">
        <v>11</v>
      </c>
      <c r="I2" s="134"/>
      <c r="J2" s="34"/>
      <c r="K2" s="14" t="s">
        <v>21</v>
      </c>
      <c r="L2" s="46" t="s">
        <v>186</v>
      </c>
      <c r="M2" s="97" t="s">
        <v>187</v>
      </c>
      <c r="N2" s="97" t="s">
        <v>189</v>
      </c>
      <c r="O2" s="28" t="s">
        <v>190</v>
      </c>
      <c r="P2" s="97" t="s">
        <v>191</v>
      </c>
      <c r="Q2" s="28" t="s">
        <v>194</v>
      </c>
      <c r="R2" s="28" t="s">
        <v>195</v>
      </c>
      <c r="S2" s="28" t="s">
        <v>198</v>
      </c>
      <c r="T2" s="29" t="s">
        <v>25</v>
      </c>
      <c r="U2" s="34"/>
      <c r="V2" s="34"/>
      <c r="W2" s="34"/>
    </row>
    <row r="3" spans="1:23" ht="15" thickTop="1" x14ac:dyDescent="0.35">
      <c r="A3" s="34"/>
      <c r="B3" s="15" t="s">
        <v>4</v>
      </c>
      <c r="C3" s="60">
        <f>L16</f>
        <v>2.1114864864864864E-2</v>
      </c>
      <c r="D3" s="61">
        <f>N16</f>
        <v>100</v>
      </c>
      <c r="E3" s="61">
        <f>Q16</f>
        <v>3.5336690915873903</v>
      </c>
      <c r="F3" s="62">
        <f>S16</f>
        <v>100</v>
      </c>
      <c r="G3" s="39"/>
      <c r="H3" s="16"/>
      <c r="I3" s="17" t="s">
        <v>41</v>
      </c>
      <c r="J3" s="34"/>
      <c r="K3" s="45">
        <v>10</v>
      </c>
      <c r="L3" s="47">
        <v>0</v>
      </c>
      <c r="M3" s="48">
        <v>0</v>
      </c>
      <c r="N3" s="48">
        <v>0</v>
      </c>
      <c r="O3" s="48">
        <v>0</v>
      </c>
      <c r="P3" s="48">
        <v>0</v>
      </c>
      <c r="Q3" s="48">
        <v>424</v>
      </c>
      <c r="R3" s="48">
        <v>0</v>
      </c>
      <c r="S3" s="48">
        <v>0</v>
      </c>
      <c r="T3" s="49">
        <v>0</v>
      </c>
      <c r="U3" s="34"/>
      <c r="V3" s="34"/>
      <c r="W3" s="34"/>
    </row>
    <row r="4" spans="1:23" ht="15" thickBot="1" x14ac:dyDescent="0.4">
      <c r="A4" s="34"/>
      <c r="B4" s="15" t="s">
        <v>5</v>
      </c>
      <c r="C4" s="73">
        <f>M16</f>
        <v>100</v>
      </c>
      <c r="D4" s="61">
        <f>O16</f>
        <v>0.1900337837837838</v>
      </c>
      <c r="E4" s="74">
        <f>R15</f>
        <v>0</v>
      </c>
      <c r="F4" s="72">
        <f>R34</f>
        <v>0</v>
      </c>
      <c r="G4" s="34"/>
      <c r="H4" s="16"/>
      <c r="I4" s="17" t="s">
        <v>42</v>
      </c>
      <c r="J4" s="34"/>
      <c r="K4" s="18">
        <v>11</v>
      </c>
      <c r="L4" s="50">
        <v>0</v>
      </c>
      <c r="M4" s="51">
        <v>0</v>
      </c>
      <c r="N4" s="51">
        <v>0</v>
      </c>
      <c r="O4" s="51">
        <v>0</v>
      </c>
      <c r="P4" s="51">
        <v>0</v>
      </c>
      <c r="Q4" s="51">
        <v>222</v>
      </c>
      <c r="R4" s="51">
        <v>0</v>
      </c>
      <c r="S4" s="51">
        <v>0</v>
      </c>
      <c r="T4" s="52">
        <v>0</v>
      </c>
      <c r="U4" s="34"/>
      <c r="V4" s="34"/>
      <c r="W4" s="34"/>
    </row>
    <row r="5" spans="1:23" ht="15.5" thickTop="1" thickBot="1" x14ac:dyDescent="0.4">
      <c r="A5" s="34"/>
      <c r="B5" s="15" t="s">
        <v>6</v>
      </c>
      <c r="C5" s="69">
        <f>K34</f>
        <v>0</v>
      </c>
      <c r="D5" s="74">
        <f>P16</f>
        <v>100</v>
      </c>
      <c r="E5" s="70">
        <f>P34</f>
        <v>1</v>
      </c>
      <c r="F5" s="71">
        <f>S34</f>
        <v>0</v>
      </c>
      <c r="G5" s="34"/>
      <c r="H5" s="16"/>
      <c r="I5" s="17" t="s">
        <v>9</v>
      </c>
      <c r="J5" s="34"/>
      <c r="K5" s="18">
        <v>12</v>
      </c>
      <c r="L5" s="50">
        <v>0</v>
      </c>
      <c r="M5" s="51">
        <v>0</v>
      </c>
      <c r="N5" s="51">
        <v>0</v>
      </c>
      <c r="O5" s="51">
        <v>1</v>
      </c>
      <c r="P5" s="51">
        <v>0</v>
      </c>
      <c r="Q5" s="51">
        <v>498</v>
      </c>
      <c r="R5" s="51">
        <v>0</v>
      </c>
      <c r="S5" s="51">
        <v>0</v>
      </c>
      <c r="T5" s="52">
        <v>2</v>
      </c>
      <c r="U5" s="34"/>
      <c r="V5" s="34"/>
      <c r="W5" s="34"/>
    </row>
    <row r="6" spans="1:23" ht="15" thickTop="1" x14ac:dyDescent="0.35">
      <c r="A6" s="34"/>
      <c r="B6" s="15" t="s">
        <v>7</v>
      </c>
      <c r="C6" s="63">
        <f>L34</f>
        <v>2</v>
      </c>
      <c r="D6" s="70">
        <f>N34</f>
        <v>3</v>
      </c>
      <c r="E6" s="64">
        <f>Q34</f>
        <v>0</v>
      </c>
      <c r="F6" s="65">
        <f>T34</f>
        <v>0</v>
      </c>
      <c r="G6" s="34"/>
      <c r="H6" s="16"/>
      <c r="I6" s="17" t="s">
        <v>10</v>
      </c>
      <c r="J6" s="34"/>
      <c r="K6" s="18">
        <v>1</v>
      </c>
      <c r="L6" s="50">
        <v>0</v>
      </c>
      <c r="M6" s="51">
        <v>0</v>
      </c>
      <c r="N6" s="51">
        <v>0</v>
      </c>
      <c r="O6" s="51">
        <v>1</v>
      </c>
      <c r="P6" s="51">
        <v>0</v>
      </c>
      <c r="Q6" s="51">
        <v>386</v>
      </c>
      <c r="R6" s="51">
        <v>0</v>
      </c>
      <c r="S6" s="51">
        <v>0</v>
      </c>
      <c r="T6" s="52">
        <v>2</v>
      </c>
      <c r="U6" s="34"/>
      <c r="V6" s="34"/>
      <c r="W6" s="34"/>
    </row>
    <row r="7" spans="1:23" ht="15" thickBot="1" x14ac:dyDescent="0.4">
      <c r="A7" s="34"/>
      <c r="B7" s="19" t="s">
        <v>8</v>
      </c>
      <c r="C7" s="66">
        <f>M34</f>
        <v>0</v>
      </c>
      <c r="D7" s="67">
        <f>O34</f>
        <v>0</v>
      </c>
      <c r="E7" s="67"/>
      <c r="F7" s="68">
        <f>U34</f>
        <v>1</v>
      </c>
      <c r="G7" s="34"/>
      <c r="H7" s="16"/>
      <c r="I7" s="17" t="s">
        <v>14</v>
      </c>
      <c r="J7" s="34"/>
      <c r="K7" s="18">
        <v>2</v>
      </c>
      <c r="L7" s="50">
        <v>0</v>
      </c>
      <c r="M7" s="51">
        <v>0</v>
      </c>
      <c r="N7" s="51">
        <v>0</v>
      </c>
      <c r="O7" s="51">
        <v>1</v>
      </c>
      <c r="P7" s="51">
        <v>0</v>
      </c>
      <c r="Q7" s="51">
        <v>339</v>
      </c>
      <c r="R7" s="51">
        <v>0</v>
      </c>
      <c r="S7" s="51">
        <v>0</v>
      </c>
      <c r="T7" s="52">
        <v>0</v>
      </c>
      <c r="U7" s="34"/>
      <c r="V7" s="34"/>
      <c r="W7" s="34"/>
    </row>
    <row r="8" spans="1:23" ht="20.25" customHeight="1" thickTop="1" thickBot="1" x14ac:dyDescent="0.4">
      <c r="A8" s="34"/>
      <c r="B8" s="20" t="s">
        <v>12</v>
      </c>
      <c r="C8" s="21" t="str">
        <f>K42</f>
        <v>Exceptional</v>
      </c>
      <c r="D8" s="21" t="str">
        <f>L42</f>
        <v>Exceptional</v>
      </c>
      <c r="E8" s="21" t="str">
        <f>M42</f>
        <v>Exceptional</v>
      </c>
      <c r="F8" s="21" t="str">
        <f>N42</f>
        <v>Exceptional</v>
      </c>
      <c r="G8" s="34"/>
      <c r="H8" s="22"/>
      <c r="I8" s="23" t="s">
        <v>13</v>
      </c>
      <c r="J8" s="34"/>
      <c r="K8" s="18">
        <v>3</v>
      </c>
      <c r="L8" s="50">
        <v>0</v>
      </c>
      <c r="M8" s="51">
        <v>0</v>
      </c>
      <c r="N8" s="51">
        <v>0</v>
      </c>
      <c r="O8" s="51">
        <v>1</v>
      </c>
      <c r="P8" s="51">
        <v>0</v>
      </c>
      <c r="Q8" s="51">
        <v>375</v>
      </c>
      <c r="R8" s="51">
        <v>0</v>
      </c>
      <c r="S8" s="51">
        <v>0</v>
      </c>
      <c r="T8" s="52">
        <v>1</v>
      </c>
      <c r="U8" s="34"/>
      <c r="V8" s="34"/>
      <c r="W8" s="34"/>
    </row>
    <row r="9" spans="1:23" ht="15" thickTop="1" x14ac:dyDescent="0.35">
      <c r="A9" s="34"/>
      <c r="B9" s="135" t="s">
        <v>31</v>
      </c>
      <c r="C9" s="137" t="str">
        <f>N44</f>
        <v>OutStanding</v>
      </c>
      <c r="D9" s="138"/>
      <c r="E9" s="138"/>
      <c r="F9" s="139"/>
      <c r="G9" s="34"/>
      <c r="H9" s="22"/>
      <c r="I9" s="23" t="s">
        <v>40</v>
      </c>
      <c r="J9" s="34"/>
      <c r="K9" s="18">
        <v>4</v>
      </c>
      <c r="L9" s="50">
        <v>0</v>
      </c>
      <c r="M9" s="51">
        <v>0</v>
      </c>
      <c r="N9" s="51">
        <v>0</v>
      </c>
      <c r="O9" s="51">
        <v>1</v>
      </c>
      <c r="P9" s="51">
        <v>0</v>
      </c>
      <c r="Q9" s="51">
        <v>435</v>
      </c>
      <c r="R9" s="51">
        <v>0</v>
      </c>
      <c r="S9" s="51">
        <v>0</v>
      </c>
      <c r="T9" s="52">
        <v>1</v>
      </c>
      <c r="U9" s="34"/>
      <c r="V9" s="34"/>
      <c r="W9" s="34"/>
    </row>
    <row r="10" spans="1:23" ht="15" thickBot="1" x14ac:dyDescent="0.4">
      <c r="A10" s="34"/>
      <c r="B10" s="136"/>
      <c r="C10" s="140"/>
      <c r="D10" s="141"/>
      <c r="E10" s="141"/>
      <c r="F10" s="142"/>
      <c r="G10" s="34"/>
      <c r="H10" s="24" t="s">
        <v>46</v>
      </c>
      <c r="I10" s="25" t="s">
        <v>47</v>
      </c>
      <c r="J10" s="34"/>
      <c r="K10" s="18">
        <v>5</v>
      </c>
      <c r="L10" s="50">
        <v>0</v>
      </c>
      <c r="M10" s="51">
        <v>0</v>
      </c>
      <c r="N10" s="51">
        <v>0</v>
      </c>
      <c r="O10" s="51">
        <v>2</v>
      </c>
      <c r="P10" s="51">
        <v>0</v>
      </c>
      <c r="Q10" s="51">
        <v>342</v>
      </c>
      <c r="R10" s="51">
        <v>0</v>
      </c>
      <c r="S10" s="51">
        <v>0</v>
      </c>
      <c r="T10" s="52"/>
      <c r="U10" s="34"/>
      <c r="V10" s="34"/>
      <c r="W10" s="34"/>
    </row>
    <row r="11" spans="1:23" s="26" customFormat="1" ht="15.5" thickTop="1" thickBot="1" x14ac:dyDescent="0.4">
      <c r="A11" s="34"/>
      <c r="B11" s="34"/>
      <c r="C11" s="40"/>
      <c r="D11" s="40"/>
      <c r="E11" s="40"/>
      <c r="F11" s="40"/>
      <c r="G11" s="34"/>
      <c r="H11" s="34"/>
      <c r="I11" s="34"/>
      <c r="J11" s="34"/>
      <c r="K11" s="18">
        <v>6</v>
      </c>
      <c r="L11" s="50">
        <v>0</v>
      </c>
      <c r="M11" s="51">
        <v>0</v>
      </c>
      <c r="N11" s="51">
        <v>0</v>
      </c>
      <c r="O11" s="51">
        <v>1</v>
      </c>
      <c r="P11" s="51">
        <v>0</v>
      </c>
      <c r="Q11" s="51">
        <v>956</v>
      </c>
      <c r="R11" s="51">
        <v>0</v>
      </c>
      <c r="S11" s="51">
        <v>0</v>
      </c>
      <c r="T11" s="52"/>
      <c r="U11" s="34"/>
      <c r="V11" s="34"/>
      <c r="W11" s="34"/>
    </row>
    <row r="12" spans="1:23" ht="15.5" thickTop="1" thickBot="1" x14ac:dyDescent="0.4">
      <c r="A12" s="34"/>
      <c r="B12" s="14" t="s">
        <v>22</v>
      </c>
      <c r="C12" s="27" t="s">
        <v>15</v>
      </c>
      <c r="D12" s="28" t="s">
        <v>16</v>
      </c>
      <c r="E12" s="28" t="s">
        <v>17</v>
      </c>
      <c r="F12" s="28" t="s">
        <v>18</v>
      </c>
      <c r="G12" s="28" t="s">
        <v>19</v>
      </c>
      <c r="H12" s="29" t="s">
        <v>20</v>
      </c>
      <c r="I12" s="34"/>
      <c r="J12" s="34"/>
      <c r="K12" s="18">
        <v>7</v>
      </c>
      <c r="L12" s="50">
        <v>1</v>
      </c>
      <c r="M12" s="51">
        <v>0</v>
      </c>
      <c r="N12" s="51">
        <v>0</v>
      </c>
      <c r="O12" s="51">
        <v>1</v>
      </c>
      <c r="P12" s="51">
        <v>0</v>
      </c>
      <c r="Q12" s="51">
        <v>759</v>
      </c>
      <c r="R12" s="51">
        <v>0</v>
      </c>
      <c r="S12" s="51">
        <v>0</v>
      </c>
      <c r="T12" s="52"/>
      <c r="U12" s="34"/>
      <c r="V12" s="34"/>
      <c r="W12" s="34"/>
    </row>
    <row r="13" spans="1:23" ht="15" thickTop="1" x14ac:dyDescent="0.35">
      <c r="A13" s="34"/>
      <c r="B13" s="12">
        <v>20</v>
      </c>
      <c r="C13" s="47">
        <v>64</v>
      </c>
      <c r="D13" s="48">
        <v>0</v>
      </c>
      <c r="E13" s="48">
        <v>0</v>
      </c>
      <c r="F13" s="48">
        <v>0</v>
      </c>
      <c r="G13" s="48">
        <v>8</v>
      </c>
      <c r="H13" s="49">
        <v>8</v>
      </c>
      <c r="I13" s="34"/>
      <c r="J13" s="34"/>
      <c r="K13" s="18">
        <v>8</v>
      </c>
      <c r="L13" s="50"/>
      <c r="M13" s="51"/>
      <c r="N13" s="51"/>
      <c r="O13" s="51"/>
      <c r="P13" s="51"/>
      <c r="Q13" s="51"/>
      <c r="R13" s="51"/>
      <c r="S13" s="51"/>
      <c r="T13" s="52"/>
      <c r="U13" s="34"/>
      <c r="V13" s="34"/>
      <c r="W13" s="34"/>
    </row>
    <row r="14" spans="1:23" ht="15" thickBot="1" x14ac:dyDescent="0.4">
      <c r="A14" s="34"/>
      <c r="B14" s="30">
        <v>21</v>
      </c>
      <c r="C14" s="50">
        <v>64</v>
      </c>
      <c r="D14" s="51">
        <v>0</v>
      </c>
      <c r="E14" s="51">
        <v>0</v>
      </c>
      <c r="F14" s="51">
        <v>5.5</v>
      </c>
      <c r="G14" s="51">
        <v>0</v>
      </c>
      <c r="H14" s="52">
        <v>10.5</v>
      </c>
      <c r="I14" s="34"/>
      <c r="J14" s="34"/>
      <c r="K14" s="31">
        <v>9</v>
      </c>
      <c r="L14" s="53"/>
      <c r="M14" s="54"/>
      <c r="N14" s="54"/>
      <c r="O14" s="54"/>
      <c r="P14" s="54"/>
      <c r="Q14" s="54"/>
      <c r="R14" s="54"/>
      <c r="S14" s="54"/>
      <c r="T14" s="55"/>
      <c r="U14" s="34"/>
      <c r="V14" s="34"/>
      <c r="W14" s="34"/>
    </row>
    <row r="15" spans="1:23" ht="17" thickTop="1" thickBot="1" x14ac:dyDescent="0.4">
      <c r="A15" s="34"/>
      <c r="B15" s="30">
        <v>22</v>
      </c>
      <c r="C15" s="50">
        <v>20</v>
      </c>
      <c r="D15" s="51">
        <v>0.5</v>
      </c>
      <c r="E15" s="51">
        <v>28</v>
      </c>
      <c r="F15" s="51">
        <v>13</v>
      </c>
      <c r="G15" s="51">
        <v>8</v>
      </c>
      <c r="H15" s="52">
        <v>11</v>
      </c>
      <c r="I15" s="34"/>
      <c r="J15" s="34"/>
      <c r="K15" s="32" t="s">
        <v>23</v>
      </c>
      <c r="L15" s="21">
        <f t="shared" ref="L15:T15" si="0">SUM(L3:L14)</f>
        <v>1</v>
      </c>
      <c r="M15" s="21">
        <f t="shared" si="0"/>
        <v>0</v>
      </c>
      <c r="N15" s="21">
        <f t="shared" si="0"/>
        <v>0</v>
      </c>
      <c r="O15" s="21">
        <f t="shared" si="0"/>
        <v>9</v>
      </c>
      <c r="P15" s="21">
        <f t="shared" si="0"/>
        <v>0</v>
      </c>
      <c r="Q15" s="21">
        <f t="shared" si="0"/>
        <v>4736</v>
      </c>
      <c r="R15" s="21">
        <f t="shared" si="0"/>
        <v>0</v>
      </c>
      <c r="S15" s="21">
        <f t="shared" si="0"/>
        <v>0</v>
      </c>
      <c r="T15" s="21">
        <f t="shared" si="0"/>
        <v>6</v>
      </c>
      <c r="U15" s="34"/>
      <c r="V15" s="34"/>
      <c r="W15" s="34"/>
    </row>
    <row r="16" spans="1:23" ht="17" thickTop="1" thickBot="1" x14ac:dyDescent="0.4">
      <c r="A16" s="34"/>
      <c r="B16" s="30">
        <v>23</v>
      </c>
      <c r="C16" s="50">
        <v>48</v>
      </c>
      <c r="D16" s="51">
        <v>0</v>
      </c>
      <c r="E16" s="51">
        <v>0</v>
      </c>
      <c r="F16" s="51">
        <v>0</v>
      </c>
      <c r="G16" s="51">
        <v>8</v>
      </c>
      <c r="H16" s="52">
        <v>24</v>
      </c>
      <c r="I16" s="34"/>
      <c r="J16" s="34"/>
      <c r="K16" s="32" t="s">
        <v>24</v>
      </c>
      <c r="L16" s="59">
        <f>SUM((L15/Q15)*100)</f>
        <v>2.1114864864864864E-2</v>
      </c>
      <c r="M16" s="59">
        <f>SUM((1-((M15)/Q15))*100)</f>
        <v>100</v>
      </c>
      <c r="N16" s="59">
        <f>SUM((1-(N15/Q15))*100)</f>
        <v>100</v>
      </c>
      <c r="O16" s="59">
        <f>SUM(O15/Q15)*100</f>
        <v>0.1900337837837838</v>
      </c>
      <c r="P16" s="59">
        <f>SUM((1-(P15/Q15))*100)</f>
        <v>100</v>
      </c>
      <c r="Q16" s="59">
        <f>Q15/F47</f>
        <v>3.5336690915873903</v>
      </c>
      <c r="R16" s="59"/>
      <c r="S16" s="59">
        <f>SUM((1-(S15/T15))*100)</f>
        <v>100</v>
      </c>
      <c r="T16" s="59"/>
      <c r="U16" s="34"/>
      <c r="V16" s="34"/>
      <c r="W16" s="34"/>
    </row>
    <row r="17" spans="1:23" ht="17" thickTop="1" thickBot="1" x14ac:dyDescent="0.4">
      <c r="A17" s="34"/>
      <c r="B17" s="30">
        <v>24</v>
      </c>
      <c r="C17" s="50">
        <v>74.5</v>
      </c>
      <c r="D17" s="51">
        <v>0</v>
      </c>
      <c r="E17" s="51">
        <v>0</v>
      </c>
      <c r="F17" s="51">
        <v>1.5</v>
      </c>
      <c r="G17" s="51">
        <v>0</v>
      </c>
      <c r="H17" s="52">
        <v>4</v>
      </c>
      <c r="I17" s="34"/>
      <c r="J17" s="34"/>
      <c r="K17" s="32" t="s">
        <v>27</v>
      </c>
      <c r="L17" s="21" t="s">
        <v>28</v>
      </c>
      <c r="M17" s="21" t="s">
        <v>32</v>
      </c>
      <c r="N17" s="21" t="s">
        <v>33</v>
      </c>
      <c r="O17" s="21" t="s">
        <v>35</v>
      </c>
      <c r="P17" s="21" t="s">
        <v>34</v>
      </c>
      <c r="Q17" s="21" t="s">
        <v>37</v>
      </c>
      <c r="R17" s="21" t="s">
        <v>36</v>
      </c>
      <c r="S17" s="21" t="s">
        <v>61</v>
      </c>
      <c r="T17" s="21"/>
      <c r="U17" s="34"/>
      <c r="V17" s="34"/>
      <c r="W17" s="34"/>
    </row>
    <row r="18" spans="1:23" ht="15.5" thickTop="1" thickBot="1" x14ac:dyDescent="0.4">
      <c r="A18" s="34"/>
      <c r="B18" s="30">
        <v>25</v>
      </c>
      <c r="C18" s="50">
        <v>55.25</v>
      </c>
      <c r="D18" s="51">
        <v>0</v>
      </c>
      <c r="E18" s="51">
        <v>0</v>
      </c>
      <c r="F18" s="51">
        <v>0</v>
      </c>
      <c r="G18" s="51">
        <v>12.75</v>
      </c>
      <c r="H18" s="52">
        <v>6</v>
      </c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</row>
    <row r="19" spans="1:23" ht="15.75" customHeight="1" thickTop="1" x14ac:dyDescent="0.35">
      <c r="A19" s="34"/>
      <c r="B19" s="30">
        <v>26</v>
      </c>
      <c r="C19" s="50">
        <v>64</v>
      </c>
      <c r="D19" s="51">
        <v>0</v>
      </c>
      <c r="E19" s="51">
        <v>0</v>
      </c>
      <c r="F19" s="51">
        <v>8</v>
      </c>
      <c r="G19" s="51">
        <v>8</v>
      </c>
      <c r="H19" s="52">
        <v>0</v>
      </c>
      <c r="I19" s="34"/>
      <c r="J19" s="143" t="s">
        <v>21</v>
      </c>
      <c r="K19" s="146" t="s">
        <v>188</v>
      </c>
      <c r="L19" s="146" t="s">
        <v>202</v>
      </c>
      <c r="M19" s="146" t="s">
        <v>201</v>
      </c>
      <c r="N19" s="146" t="s">
        <v>192</v>
      </c>
      <c r="O19" s="146" t="s">
        <v>193</v>
      </c>
      <c r="P19" s="146" t="s">
        <v>196</v>
      </c>
      <c r="Q19" s="146" t="s">
        <v>197</v>
      </c>
      <c r="R19" s="146" t="s">
        <v>203</v>
      </c>
      <c r="S19" s="146" t="s">
        <v>199</v>
      </c>
      <c r="T19" s="146" t="s">
        <v>204</v>
      </c>
      <c r="U19" s="149" t="s">
        <v>200</v>
      </c>
      <c r="V19" s="34"/>
      <c r="W19" s="34"/>
    </row>
    <row r="20" spans="1:23" ht="26.5" customHeight="1" x14ac:dyDescent="0.35">
      <c r="A20" s="34"/>
      <c r="B20" s="30">
        <v>1</v>
      </c>
      <c r="C20" s="50">
        <v>72</v>
      </c>
      <c r="D20" s="51">
        <v>0</v>
      </c>
      <c r="E20" s="51">
        <v>0</v>
      </c>
      <c r="F20" s="51">
        <v>0</v>
      </c>
      <c r="G20" s="51">
        <v>8</v>
      </c>
      <c r="H20" s="52">
        <v>0</v>
      </c>
      <c r="I20" s="34"/>
      <c r="J20" s="144"/>
      <c r="K20" s="147"/>
      <c r="L20" s="147"/>
      <c r="M20" s="147"/>
      <c r="N20" s="147"/>
      <c r="O20" s="147"/>
      <c r="P20" s="147"/>
      <c r="Q20" s="147"/>
      <c r="R20" s="147"/>
      <c r="S20" s="147"/>
      <c r="T20" s="147"/>
      <c r="U20" s="150"/>
      <c r="V20" s="34"/>
      <c r="W20" s="34"/>
    </row>
    <row r="21" spans="1:23" ht="15" thickBot="1" x14ac:dyDescent="0.4">
      <c r="A21" s="34"/>
      <c r="B21" s="30">
        <v>2</v>
      </c>
      <c r="C21" s="50">
        <v>80</v>
      </c>
      <c r="D21" s="51">
        <v>0</v>
      </c>
      <c r="E21" s="51">
        <v>0</v>
      </c>
      <c r="F21" s="51">
        <v>0</v>
      </c>
      <c r="G21" s="51">
        <v>0</v>
      </c>
      <c r="H21" s="52">
        <v>0</v>
      </c>
      <c r="I21" s="34"/>
      <c r="J21" s="145"/>
      <c r="K21" s="148"/>
      <c r="L21" s="148"/>
      <c r="M21" s="148"/>
      <c r="N21" s="148"/>
      <c r="O21" s="148"/>
      <c r="P21" s="148"/>
      <c r="Q21" s="148"/>
      <c r="R21" s="148"/>
      <c r="S21" s="148"/>
      <c r="T21" s="148"/>
      <c r="U21" s="151"/>
      <c r="V21" s="34"/>
      <c r="W21" s="34"/>
    </row>
    <row r="22" spans="1:23" ht="15" thickTop="1" x14ac:dyDescent="0.35">
      <c r="A22" s="34"/>
      <c r="B22" s="30">
        <v>3</v>
      </c>
      <c r="C22" s="50">
        <v>64</v>
      </c>
      <c r="D22" s="51">
        <v>0</v>
      </c>
      <c r="E22" s="51">
        <v>0</v>
      </c>
      <c r="F22" s="51">
        <v>8</v>
      </c>
      <c r="G22" s="51">
        <v>8</v>
      </c>
      <c r="H22" s="52">
        <v>0</v>
      </c>
      <c r="I22" s="34"/>
      <c r="J22" s="10">
        <v>10</v>
      </c>
      <c r="K22" s="56">
        <v>0</v>
      </c>
      <c r="L22" s="48">
        <v>0</v>
      </c>
      <c r="M22" s="48">
        <v>0</v>
      </c>
      <c r="N22" s="48">
        <v>0</v>
      </c>
      <c r="O22" s="48">
        <v>0</v>
      </c>
      <c r="P22" s="48">
        <v>0</v>
      </c>
      <c r="Q22" s="48">
        <v>0</v>
      </c>
      <c r="R22" s="48">
        <v>0</v>
      </c>
      <c r="S22" s="48">
        <v>0</v>
      </c>
      <c r="T22" s="48">
        <v>0</v>
      </c>
      <c r="U22" s="49">
        <v>0</v>
      </c>
      <c r="V22" s="34"/>
      <c r="W22" s="34"/>
    </row>
    <row r="23" spans="1:23" x14ac:dyDescent="0.35">
      <c r="A23" s="34"/>
      <c r="B23" s="30">
        <v>4</v>
      </c>
      <c r="C23" s="50">
        <v>78.5</v>
      </c>
      <c r="D23" s="51">
        <v>0</v>
      </c>
      <c r="E23" s="51">
        <v>0</v>
      </c>
      <c r="F23" s="51">
        <v>1.5</v>
      </c>
      <c r="G23" s="51">
        <v>0</v>
      </c>
      <c r="H23" s="52">
        <v>0</v>
      </c>
      <c r="I23" s="34"/>
      <c r="J23" s="15">
        <v>11</v>
      </c>
      <c r="K23" s="57">
        <v>0</v>
      </c>
      <c r="L23" s="51">
        <v>0</v>
      </c>
      <c r="M23" s="51">
        <v>0</v>
      </c>
      <c r="N23" s="51">
        <v>1</v>
      </c>
      <c r="O23" s="51">
        <v>0</v>
      </c>
      <c r="P23" s="51">
        <v>1</v>
      </c>
      <c r="Q23" s="51">
        <v>0</v>
      </c>
      <c r="R23" s="51">
        <v>0</v>
      </c>
      <c r="S23" s="51">
        <v>0</v>
      </c>
      <c r="T23" s="51">
        <v>0</v>
      </c>
      <c r="U23" s="52">
        <v>1</v>
      </c>
      <c r="V23" s="34"/>
      <c r="W23" s="34"/>
    </row>
    <row r="24" spans="1:23" x14ac:dyDescent="0.35">
      <c r="A24" s="34"/>
      <c r="B24" s="30">
        <v>5</v>
      </c>
      <c r="C24" s="50">
        <v>80</v>
      </c>
      <c r="D24" s="51">
        <v>0</v>
      </c>
      <c r="E24" s="51">
        <v>0</v>
      </c>
      <c r="F24" s="51">
        <v>0</v>
      </c>
      <c r="G24" s="51">
        <v>0</v>
      </c>
      <c r="H24" s="52">
        <v>0</v>
      </c>
      <c r="I24" s="34"/>
      <c r="J24" s="15">
        <v>12</v>
      </c>
      <c r="K24" s="57">
        <v>0</v>
      </c>
      <c r="L24" s="51">
        <v>1</v>
      </c>
      <c r="M24" s="51">
        <v>0</v>
      </c>
      <c r="N24" s="51">
        <v>1</v>
      </c>
      <c r="O24" s="51">
        <v>0</v>
      </c>
      <c r="P24" s="51">
        <v>0</v>
      </c>
      <c r="Q24" s="51">
        <v>0</v>
      </c>
      <c r="R24" s="51">
        <v>0</v>
      </c>
      <c r="S24" s="51">
        <v>0</v>
      </c>
      <c r="T24" s="51">
        <v>0</v>
      </c>
      <c r="U24" s="52">
        <v>0</v>
      </c>
      <c r="V24" s="34"/>
      <c r="W24" s="34"/>
    </row>
    <row r="25" spans="1:23" x14ac:dyDescent="0.35">
      <c r="A25" s="34"/>
      <c r="B25" s="30">
        <v>6</v>
      </c>
      <c r="C25" s="50">
        <v>52</v>
      </c>
      <c r="D25" s="51">
        <v>0</v>
      </c>
      <c r="E25" s="51">
        <v>16</v>
      </c>
      <c r="F25" s="51">
        <v>8</v>
      </c>
      <c r="G25" s="51">
        <v>0</v>
      </c>
      <c r="H25" s="52">
        <v>4</v>
      </c>
      <c r="I25" s="34"/>
      <c r="J25" s="15">
        <v>1</v>
      </c>
      <c r="K25" s="57">
        <v>0</v>
      </c>
      <c r="L25" s="51">
        <v>1</v>
      </c>
      <c r="M25" s="51">
        <v>0</v>
      </c>
      <c r="N25" s="51">
        <v>1</v>
      </c>
      <c r="O25" s="51">
        <v>0</v>
      </c>
      <c r="P25" s="51">
        <v>0</v>
      </c>
      <c r="Q25" s="51">
        <v>0</v>
      </c>
      <c r="R25" s="51">
        <v>0</v>
      </c>
      <c r="S25" s="51">
        <v>0</v>
      </c>
      <c r="T25" s="51">
        <v>0</v>
      </c>
      <c r="U25" s="52">
        <v>0</v>
      </c>
      <c r="V25" s="34"/>
      <c r="W25" s="34"/>
    </row>
    <row r="26" spans="1:23" x14ac:dyDescent="0.35">
      <c r="A26" s="34"/>
      <c r="B26" s="30">
        <v>7</v>
      </c>
      <c r="C26" s="50">
        <v>52</v>
      </c>
      <c r="D26" s="51">
        <v>0</v>
      </c>
      <c r="E26" s="51">
        <v>0</v>
      </c>
      <c r="F26" s="51">
        <v>0</v>
      </c>
      <c r="G26" s="51">
        <v>0</v>
      </c>
      <c r="H26" s="52">
        <v>28</v>
      </c>
      <c r="I26" s="34"/>
      <c r="J26" s="15">
        <v>2</v>
      </c>
      <c r="K26" s="57">
        <v>0</v>
      </c>
      <c r="L26" s="51">
        <v>0</v>
      </c>
      <c r="M26" s="51">
        <v>0</v>
      </c>
      <c r="N26" s="51">
        <v>0</v>
      </c>
      <c r="O26" s="51">
        <v>0</v>
      </c>
      <c r="P26" s="51">
        <v>0</v>
      </c>
      <c r="Q26" s="51">
        <v>0</v>
      </c>
      <c r="R26" s="51">
        <v>0</v>
      </c>
      <c r="S26" s="51">
        <v>0</v>
      </c>
      <c r="T26" s="51">
        <v>0</v>
      </c>
      <c r="U26" s="52">
        <v>0</v>
      </c>
      <c r="V26" s="34"/>
      <c r="W26" s="34"/>
    </row>
    <row r="27" spans="1:23" x14ac:dyDescent="0.35">
      <c r="A27" s="34"/>
      <c r="B27" s="30">
        <v>8</v>
      </c>
      <c r="C27" s="50">
        <v>68</v>
      </c>
      <c r="D27" s="51">
        <v>0</v>
      </c>
      <c r="E27" s="51">
        <v>0</v>
      </c>
      <c r="F27" s="51">
        <v>0</v>
      </c>
      <c r="G27" s="51">
        <v>0</v>
      </c>
      <c r="H27" s="52">
        <v>12</v>
      </c>
      <c r="I27" s="34"/>
      <c r="J27" s="15">
        <v>3</v>
      </c>
      <c r="K27" s="57">
        <v>0</v>
      </c>
      <c r="L27" s="51">
        <v>0</v>
      </c>
      <c r="M27" s="51">
        <v>0</v>
      </c>
      <c r="N27" s="51">
        <v>0</v>
      </c>
      <c r="O27" s="51">
        <v>0</v>
      </c>
      <c r="P27" s="51">
        <v>0</v>
      </c>
      <c r="Q27" s="51">
        <v>0</v>
      </c>
      <c r="R27" s="51">
        <v>0</v>
      </c>
      <c r="S27" s="51">
        <v>0</v>
      </c>
      <c r="T27" s="51">
        <v>0</v>
      </c>
      <c r="U27" s="52">
        <v>0</v>
      </c>
      <c r="V27" s="34"/>
      <c r="W27" s="34"/>
    </row>
    <row r="28" spans="1:23" x14ac:dyDescent="0.35">
      <c r="A28" s="34"/>
      <c r="B28" s="30">
        <v>9</v>
      </c>
      <c r="C28" s="50">
        <v>64</v>
      </c>
      <c r="D28" s="51">
        <v>0</v>
      </c>
      <c r="E28" s="51">
        <v>0</v>
      </c>
      <c r="F28" s="51">
        <v>0</v>
      </c>
      <c r="G28" s="51">
        <v>0</v>
      </c>
      <c r="H28" s="52">
        <v>16</v>
      </c>
      <c r="I28" s="34"/>
      <c r="J28" s="15">
        <v>4</v>
      </c>
      <c r="K28" s="57">
        <v>0</v>
      </c>
      <c r="L28" s="51">
        <v>0</v>
      </c>
      <c r="M28" s="51">
        <v>0</v>
      </c>
      <c r="N28" s="51">
        <v>0</v>
      </c>
      <c r="O28" s="51">
        <v>0</v>
      </c>
      <c r="P28" s="51">
        <v>0</v>
      </c>
      <c r="Q28" s="51">
        <v>0</v>
      </c>
      <c r="R28" s="51">
        <v>0</v>
      </c>
      <c r="S28" s="51">
        <v>0</v>
      </c>
      <c r="T28" s="51">
        <v>0</v>
      </c>
      <c r="U28" s="52">
        <v>0</v>
      </c>
      <c r="V28" s="34"/>
      <c r="W28" s="34"/>
    </row>
    <row r="29" spans="1:23" x14ac:dyDescent="0.35">
      <c r="A29" s="34"/>
      <c r="B29" s="30">
        <v>10</v>
      </c>
      <c r="C29" s="50">
        <v>50.5</v>
      </c>
      <c r="D29" s="51">
        <v>0</v>
      </c>
      <c r="E29" s="51">
        <v>17.5</v>
      </c>
      <c r="F29" s="51">
        <v>0</v>
      </c>
      <c r="G29" s="51">
        <v>8</v>
      </c>
      <c r="H29" s="52">
        <v>4</v>
      </c>
      <c r="I29" s="34"/>
      <c r="J29" s="15">
        <v>5</v>
      </c>
      <c r="K29" s="57">
        <v>0</v>
      </c>
      <c r="L29" s="51"/>
      <c r="M29" s="51">
        <v>0</v>
      </c>
      <c r="N29" s="51">
        <v>0</v>
      </c>
      <c r="O29" s="51">
        <v>0</v>
      </c>
      <c r="P29" s="51">
        <v>0</v>
      </c>
      <c r="Q29" s="51">
        <v>0</v>
      </c>
      <c r="R29" s="51">
        <v>0</v>
      </c>
      <c r="S29" s="51">
        <v>0</v>
      </c>
      <c r="T29" s="51">
        <v>0</v>
      </c>
      <c r="U29" s="52">
        <v>0</v>
      </c>
      <c r="V29" s="34"/>
      <c r="W29" s="34"/>
    </row>
    <row r="30" spans="1:23" x14ac:dyDescent="0.35">
      <c r="A30" s="34"/>
      <c r="B30" s="30">
        <v>11</v>
      </c>
      <c r="C30" s="50">
        <v>54.5</v>
      </c>
      <c r="D30" s="51">
        <v>0</v>
      </c>
      <c r="E30" s="51">
        <v>24</v>
      </c>
      <c r="F30" s="51">
        <v>1.5</v>
      </c>
      <c r="G30" s="51">
        <v>0</v>
      </c>
      <c r="H30" s="52">
        <v>0</v>
      </c>
      <c r="I30" s="34"/>
      <c r="J30" s="15">
        <v>6</v>
      </c>
      <c r="K30" s="57">
        <v>0</v>
      </c>
      <c r="L30" s="51"/>
      <c r="M30" s="51">
        <v>0</v>
      </c>
      <c r="N30" s="51">
        <v>0</v>
      </c>
      <c r="O30" s="51">
        <v>0</v>
      </c>
      <c r="P30" s="51">
        <v>0</v>
      </c>
      <c r="Q30" s="51">
        <v>0</v>
      </c>
      <c r="R30" s="51">
        <v>0</v>
      </c>
      <c r="S30" s="51">
        <v>0</v>
      </c>
      <c r="T30" s="51">
        <v>0</v>
      </c>
      <c r="U30" s="52">
        <v>0</v>
      </c>
      <c r="V30" s="34"/>
      <c r="W30" s="34"/>
    </row>
    <row r="31" spans="1:23" x14ac:dyDescent="0.35">
      <c r="A31" s="34"/>
      <c r="B31" s="30">
        <v>12</v>
      </c>
      <c r="C31" s="50">
        <v>67.5</v>
      </c>
      <c r="D31" s="51">
        <v>0</v>
      </c>
      <c r="E31" s="51">
        <v>0.5</v>
      </c>
      <c r="F31" s="51">
        <v>0</v>
      </c>
      <c r="G31" s="51">
        <v>8</v>
      </c>
      <c r="H31" s="52">
        <v>4</v>
      </c>
      <c r="I31" s="34"/>
      <c r="J31" s="15">
        <v>7</v>
      </c>
      <c r="K31" s="57">
        <v>0</v>
      </c>
      <c r="L31" s="51"/>
      <c r="M31" s="51">
        <v>0</v>
      </c>
      <c r="N31" s="51">
        <v>0</v>
      </c>
      <c r="O31" s="51">
        <v>0</v>
      </c>
      <c r="P31" s="51">
        <v>0</v>
      </c>
      <c r="Q31" s="51">
        <v>0</v>
      </c>
      <c r="R31" s="51">
        <v>0</v>
      </c>
      <c r="S31" s="51">
        <v>0</v>
      </c>
      <c r="T31" s="51">
        <v>0</v>
      </c>
      <c r="U31" s="52">
        <v>0</v>
      </c>
      <c r="V31" s="34"/>
      <c r="W31" s="34"/>
    </row>
    <row r="32" spans="1:23" x14ac:dyDescent="0.35">
      <c r="A32" s="34"/>
      <c r="B32" s="30">
        <v>13</v>
      </c>
      <c r="C32" s="50">
        <v>60</v>
      </c>
      <c r="D32" s="51">
        <v>0</v>
      </c>
      <c r="E32" s="51">
        <v>8</v>
      </c>
      <c r="F32" s="51">
        <v>0</v>
      </c>
      <c r="G32" s="51">
        <v>0</v>
      </c>
      <c r="H32" s="52">
        <v>12</v>
      </c>
      <c r="I32" s="34"/>
      <c r="J32" s="15">
        <v>8</v>
      </c>
      <c r="K32" s="57"/>
      <c r="L32" s="51"/>
      <c r="M32" s="51"/>
      <c r="N32" s="51"/>
      <c r="O32" s="51"/>
      <c r="P32" s="51"/>
      <c r="Q32" s="51"/>
      <c r="R32" s="51"/>
      <c r="S32" s="51"/>
      <c r="T32" s="51"/>
      <c r="U32" s="52"/>
      <c r="V32" s="34"/>
      <c r="W32" s="34"/>
    </row>
    <row r="33" spans="1:23" ht="15" thickBot="1" x14ac:dyDescent="0.4">
      <c r="A33" s="34"/>
      <c r="B33" s="30">
        <v>14</v>
      </c>
      <c r="C33" s="50">
        <v>55</v>
      </c>
      <c r="D33" s="51">
        <v>0</v>
      </c>
      <c r="E33" s="51">
        <v>5</v>
      </c>
      <c r="F33" s="51">
        <v>0</v>
      </c>
      <c r="G33" s="51">
        <v>0</v>
      </c>
      <c r="H33" s="52">
        <v>20</v>
      </c>
      <c r="I33" s="34"/>
      <c r="J33" s="44">
        <v>9</v>
      </c>
      <c r="K33" s="58"/>
      <c r="L33" s="54"/>
      <c r="M33" s="54"/>
      <c r="N33" s="54"/>
      <c r="O33" s="54"/>
      <c r="P33" s="54"/>
      <c r="Q33" s="54"/>
      <c r="R33" s="54"/>
      <c r="S33" s="54"/>
      <c r="T33" s="54"/>
      <c r="U33" s="55"/>
      <c r="V33" s="34"/>
      <c r="W33" s="34"/>
    </row>
    <row r="34" spans="1:23" ht="17" thickTop="1" thickBot="1" x14ac:dyDescent="0.4">
      <c r="A34" s="34"/>
      <c r="B34" s="30">
        <v>15</v>
      </c>
      <c r="C34" s="50">
        <v>52</v>
      </c>
      <c r="D34" s="51">
        <v>0</v>
      </c>
      <c r="E34" s="51">
        <v>12</v>
      </c>
      <c r="F34" s="51">
        <v>0</v>
      </c>
      <c r="G34" s="51">
        <v>0</v>
      </c>
      <c r="H34" s="52">
        <v>16</v>
      </c>
      <c r="I34" s="34"/>
      <c r="J34" s="32" t="s">
        <v>23</v>
      </c>
      <c r="K34" s="33">
        <f t="shared" ref="K34:U34" si="1">SUM(K22:K33)</f>
        <v>0</v>
      </c>
      <c r="L34" s="33">
        <f t="shared" si="1"/>
        <v>2</v>
      </c>
      <c r="M34" s="33">
        <f t="shared" si="1"/>
        <v>0</v>
      </c>
      <c r="N34" s="33">
        <f t="shared" si="1"/>
        <v>3</v>
      </c>
      <c r="O34" s="33">
        <f t="shared" si="1"/>
        <v>0</v>
      </c>
      <c r="P34" s="33">
        <f t="shared" si="1"/>
        <v>1</v>
      </c>
      <c r="Q34" s="33">
        <f t="shared" si="1"/>
        <v>0</v>
      </c>
      <c r="R34" s="33">
        <f t="shared" si="1"/>
        <v>0</v>
      </c>
      <c r="S34" s="33">
        <f t="shared" si="1"/>
        <v>0</v>
      </c>
      <c r="T34" s="33">
        <f t="shared" si="1"/>
        <v>0</v>
      </c>
      <c r="U34" s="21">
        <f t="shared" si="1"/>
        <v>1</v>
      </c>
      <c r="V34" s="34"/>
      <c r="W34" s="34"/>
    </row>
    <row r="35" spans="1:23" ht="15.5" thickTop="1" thickBot="1" x14ac:dyDescent="0.4">
      <c r="A35" s="34"/>
      <c r="B35" s="30">
        <v>16</v>
      </c>
      <c r="C35" s="50"/>
      <c r="D35" s="51"/>
      <c r="E35" s="51"/>
      <c r="F35" s="51"/>
      <c r="G35" s="51"/>
      <c r="H35" s="52"/>
      <c r="I35" s="34"/>
      <c r="J35" s="14" t="s">
        <v>27</v>
      </c>
      <c r="K35" s="21" t="s">
        <v>29</v>
      </c>
      <c r="L35" s="21" t="s">
        <v>30</v>
      </c>
      <c r="M35" s="21" t="s">
        <v>58</v>
      </c>
      <c r="N35" s="21" t="s">
        <v>59</v>
      </c>
      <c r="O35" s="21" t="s">
        <v>60</v>
      </c>
      <c r="P35" s="21" t="s">
        <v>38</v>
      </c>
      <c r="Q35" s="21" t="s">
        <v>39</v>
      </c>
      <c r="R35" s="21" t="s">
        <v>62</v>
      </c>
      <c r="S35" s="21" t="s">
        <v>63</v>
      </c>
      <c r="T35" s="21" t="s">
        <v>64</v>
      </c>
      <c r="U35" s="21" t="s">
        <v>65</v>
      </c>
      <c r="V35" s="34"/>
      <c r="W35" s="34"/>
    </row>
    <row r="36" spans="1:23" ht="15" thickTop="1" x14ac:dyDescent="0.35">
      <c r="A36" s="34"/>
      <c r="B36" s="30">
        <v>17</v>
      </c>
      <c r="C36" s="50"/>
      <c r="D36" s="51"/>
      <c r="E36" s="51"/>
      <c r="F36" s="51"/>
      <c r="G36" s="51"/>
      <c r="H36" s="52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</row>
    <row r="37" spans="1:23" x14ac:dyDescent="0.35">
      <c r="A37" s="34"/>
      <c r="B37" s="30">
        <v>18</v>
      </c>
      <c r="C37" s="50"/>
      <c r="D37" s="51"/>
      <c r="E37" s="51"/>
      <c r="F37" s="51"/>
      <c r="G37" s="51"/>
      <c r="H37" s="52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</row>
    <row r="38" spans="1:23" x14ac:dyDescent="0.35">
      <c r="A38" s="34"/>
      <c r="B38" s="30">
        <v>19</v>
      </c>
      <c r="C38" s="50"/>
      <c r="D38" s="51"/>
      <c r="E38" s="51"/>
      <c r="F38" s="51"/>
      <c r="G38" s="51"/>
      <c r="H38" s="52"/>
      <c r="I38" s="34"/>
      <c r="J38" s="152" t="s">
        <v>57</v>
      </c>
      <c r="K38" s="152"/>
      <c r="L38" s="152"/>
      <c r="M38" s="152"/>
      <c r="N38" s="152"/>
      <c r="O38" s="152"/>
      <c r="P38" s="34"/>
      <c r="Q38" s="34"/>
      <c r="R38" s="34"/>
      <c r="S38" s="34"/>
      <c r="T38" s="34"/>
      <c r="U38" s="34"/>
      <c r="V38" s="34"/>
      <c r="W38" s="34"/>
    </row>
    <row r="39" spans="1:23" x14ac:dyDescent="0.35">
      <c r="A39" s="34"/>
      <c r="B39" s="30">
        <v>20</v>
      </c>
      <c r="C39" s="50"/>
      <c r="D39" s="51"/>
      <c r="E39" s="51"/>
      <c r="F39" s="51"/>
      <c r="G39" s="51"/>
      <c r="H39" s="52"/>
      <c r="I39" s="34"/>
      <c r="J39" s="152"/>
      <c r="K39" s="152"/>
      <c r="L39" s="152"/>
      <c r="M39" s="152"/>
      <c r="N39" s="152"/>
      <c r="O39" s="152"/>
      <c r="P39" s="34"/>
      <c r="Q39" s="34"/>
      <c r="R39" s="34"/>
      <c r="S39" s="34"/>
      <c r="T39" s="34"/>
      <c r="U39" s="34"/>
      <c r="V39" s="34"/>
      <c r="W39" s="34"/>
    </row>
    <row r="40" spans="1:23" ht="15" thickBot="1" x14ac:dyDescent="0.4">
      <c r="A40" s="34"/>
      <c r="B40" s="30">
        <v>21</v>
      </c>
      <c r="C40" s="50"/>
      <c r="D40" s="51"/>
      <c r="E40" s="51"/>
      <c r="F40" s="51"/>
      <c r="G40" s="51"/>
      <c r="H40" s="52"/>
      <c r="I40" s="34"/>
      <c r="J40" s="35"/>
      <c r="K40" s="35"/>
      <c r="L40" s="35"/>
      <c r="M40" s="35"/>
      <c r="N40" s="35"/>
      <c r="O40" s="35"/>
      <c r="P40" s="34"/>
      <c r="Q40" s="34"/>
      <c r="R40" s="34"/>
      <c r="S40" s="34"/>
      <c r="T40" s="34"/>
      <c r="U40" s="34"/>
      <c r="V40" s="34"/>
      <c r="W40" s="34"/>
    </row>
    <row r="41" spans="1:23" ht="15.5" thickTop="1" thickBot="1" x14ac:dyDescent="0.4">
      <c r="A41" s="34"/>
      <c r="B41" s="30">
        <v>22</v>
      </c>
      <c r="C41" s="50"/>
      <c r="D41" s="51"/>
      <c r="E41" s="51"/>
      <c r="F41" s="51"/>
      <c r="G41" s="51"/>
      <c r="H41" s="52"/>
      <c r="I41" s="34"/>
      <c r="J41" s="34"/>
      <c r="K41" s="36" t="s">
        <v>0</v>
      </c>
      <c r="L41" s="36" t="s">
        <v>1</v>
      </c>
      <c r="M41" s="36" t="s">
        <v>2</v>
      </c>
      <c r="N41" s="36" t="s">
        <v>3</v>
      </c>
      <c r="O41" s="34"/>
      <c r="P41" s="34"/>
      <c r="Q41" s="34"/>
      <c r="R41" s="34"/>
      <c r="S41" s="34"/>
      <c r="T41" s="34"/>
      <c r="U41" s="34"/>
      <c r="V41" s="34"/>
      <c r="W41" s="34"/>
    </row>
    <row r="42" spans="1:23" ht="15.5" thickTop="1" thickBot="1" x14ac:dyDescent="0.4">
      <c r="A42" s="34"/>
      <c r="B42" s="30">
        <v>23</v>
      </c>
      <c r="C42" s="50"/>
      <c r="D42" s="51"/>
      <c r="E42" s="51"/>
      <c r="F42" s="51"/>
      <c r="G42" s="51"/>
      <c r="H42" s="52"/>
      <c r="I42" s="34"/>
      <c r="J42" s="34"/>
      <c r="K42" s="21" t="str">
        <f>IF(OR('1'!C3&gt;SetUp!C7,'1'!C4&lt;SetUp!C8),"Unacceptable",IF(AND(AND('1'!C3&lt;=SetUp!D7,'1'!C4&gt;=SetUp!D8),OR('1'!C5&gt;=SetUp!C12,'1'!C6&gt;=SetUp!C13,'1'!C7&gt;=SetUp!C14)), "Exceptional", "Fully Successful"))</f>
        <v>Exceptional</v>
      </c>
      <c r="L42" s="21" t="str">
        <f>IF(OR('1'!D3&lt;SetUp!E7,'1'!D4&gt;SetUp!E8,'1'!D5&lt;SetUp!E9),"Unacceptable", IF(AND(AND('1'!D3&gt;=SetUp!F7,'1'!D4&lt;=SetUp!F8,'1'!D5&gt;=SetUp!F9),OR('1'!D6&gt;=SetUp!E13,'1'!D7&gt;=SetUp!E14)), "Exceptional", "Fully Successful"))</f>
        <v>Exceptional</v>
      </c>
      <c r="M42" s="21" t="str">
        <f>IF(OR('1'!E3&lt;SetUp!G7,'1'!E4&gt;SetUp!G8),"Unacceptable",IF(AND(AND('1'!E3&gt;=SetUp!H7, '1'!E4&lt;=SetUp!H8),OR('1'!E5&gt;=SetUp!G12, '1'!E6&gt;=SetUp!G13)), "Exceptional", "Fully Successful"))</f>
        <v>Exceptional</v>
      </c>
      <c r="N42" s="21" t="str">
        <f>IF(OR(F3&lt;SetUp!I7,'1'!F4&gt;SetUp!I11),"Unacceptable",IF(AND(AND(F3&gt;=SetUp!J7,'1'!F4&lt;=SetUp!I11),OR('1'!F5&gt;=SetUp!I12,'1'!F6&gt;=SetUp!I13,'1'!F7&gt;=SetUp!I14)),"Exceptional","Fully Successful"))</f>
        <v>Exceptional</v>
      </c>
      <c r="O42" s="34"/>
      <c r="P42" s="34"/>
      <c r="Q42" s="34"/>
      <c r="R42" s="34"/>
      <c r="S42" s="34"/>
      <c r="T42" s="34"/>
      <c r="U42" s="34"/>
      <c r="V42" s="34"/>
      <c r="W42" s="34"/>
    </row>
    <row r="43" spans="1:23" ht="15.5" thickTop="1" thickBot="1" x14ac:dyDescent="0.4">
      <c r="A43" s="34"/>
      <c r="B43" s="30">
        <v>24</v>
      </c>
      <c r="C43" s="50"/>
      <c r="D43" s="51"/>
      <c r="E43" s="51"/>
      <c r="F43" s="51"/>
      <c r="G43" s="51"/>
      <c r="H43" s="52"/>
      <c r="I43" s="34"/>
      <c r="J43" s="34"/>
      <c r="K43" s="21">
        <f>IF(K42="Exceptional", 10, IF(K42="Fully Successful", 1, 0))</f>
        <v>10</v>
      </c>
      <c r="L43" s="21">
        <f>IF(L42="Exceptional", 10, IF(L42="Fully Successful", 1, 0))</f>
        <v>10</v>
      </c>
      <c r="M43" s="21">
        <f>IF(M42="Exceptional", 10, IF(M42="Fully Successful", 1, 0))</f>
        <v>10</v>
      </c>
      <c r="N43" s="21">
        <f>IF(N42="Exceptional", 10, IF(N42="Fully Successful", 1, 0))</f>
        <v>10</v>
      </c>
      <c r="O43" s="34"/>
      <c r="P43" s="34"/>
      <c r="Q43" s="34"/>
      <c r="R43" s="34"/>
      <c r="S43" s="34"/>
      <c r="T43" s="34"/>
      <c r="U43" s="34"/>
      <c r="V43" s="34"/>
      <c r="W43" s="34"/>
    </row>
    <row r="44" spans="1:23" ht="15.75" customHeight="1" thickTop="1" thickBot="1" x14ac:dyDescent="0.4">
      <c r="A44" s="34"/>
      <c r="B44" s="30">
        <v>25</v>
      </c>
      <c r="C44" s="50"/>
      <c r="D44" s="51"/>
      <c r="E44" s="51"/>
      <c r="F44" s="51"/>
      <c r="G44" s="51"/>
      <c r="H44" s="52"/>
      <c r="I44" s="34"/>
      <c r="J44" s="34"/>
      <c r="K44" s="34"/>
      <c r="L44" s="21">
        <f>SUM(K43:M43)</f>
        <v>30</v>
      </c>
      <c r="M44" s="21">
        <f>N43</f>
        <v>10</v>
      </c>
      <c r="N44" s="21" t="str">
        <f>IF(L44+M44=40,"OutStanding",IF(AND(L44&gt;=30,M44&gt;=1),"Excellent",IF(AND(K43&gt;=1,L43&gt;=1,M43&gt;=1,N43&gt;=1),"Fully Successful",IF(AND(K43&gt;=1,L43&gt;=1,M43&gt;=1,N43&lt;1),"Minimally Successful","Unacceptable"))))</f>
        <v>OutStanding</v>
      </c>
      <c r="O44" s="34"/>
      <c r="P44" s="34"/>
      <c r="Q44" s="34"/>
      <c r="R44" s="34"/>
      <c r="S44" s="34"/>
      <c r="T44" s="34"/>
      <c r="U44" s="34"/>
      <c r="V44" s="34"/>
      <c r="W44" s="34"/>
    </row>
    <row r="45" spans="1:23" ht="15.5" thickTop="1" thickBot="1" x14ac:dyDescent="0.4">
      <c r="A45" s="34"/>
      <c r="B45" s="37">
        <v>26</v>
      </c>
      <c r="C45" s="53"/>
      <c r="D45" s="54"/>
      <c r="E45" s="54"/>
      <c r="F45" s="54"/>
      <c r="G45" s="54"/>
      <c r="H45" s="55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</row>
    <row r="46" spans="1:23" ht="15.5" thickTop="1" thickBot="1" x14ac:dyDescent="0.4">
      <c r="A46" s="34"/>
      <c r="B46" s="14" t="s">
        <v>23</v>
      </c>
      <c r="C46" s="21">
        <f t="shared" ref="C46:H46" si="2">SUM(C13:C45)</f>
        <v>1339.75</v>
      </c>
      <c r="D46" s="21">
        <f t="shared" si="2"/>
        <v>0.5</v>
      </c>
      <c r="E46" s="21">
        <f t="shared" si="2"/>
        <v>111</v>
      </c>
      <c r="F46" s="21">
        <f t="shared" si="2"/>
        <v>47</v>
      </c>
      <c r="G46" s="21">
        <f t="shared" si="2"/>
        <v>76.75</v>
      </c>
      <c r="H46" s="21">
        <f t="shared" si="2"/>
        <v>179.5</v>
      </c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</row>
    <row r="47" spans="1:23" ht="15.5" thickTop="1" thickBot="1" x14ac:dyDescent="0.4">
      <c r="A47" s="34"/>
      <c r="B47" s="14" t="s">
        <v>26</v>
      </c>
      <c r="C47" s="21">
        <f>C46+D46+E46+F46+G46+H46</f>
        <v>1754.5</v>
      </c>
      <c r="D47" s="153" t="s">
        <v>66</v>
      </c>
      <c r="E47" s="154"/>
      <c r="F47" s="155">
        <f>C46+D46</f>
        <v>1340.25</v>
      </c>
      <c r="G47" s="156"/>
      <c r="H47" s="157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</row>
    <row r="48" spans="1:23" ht="15" thickTop="1" x14ac:dyDescent="0.35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</row>
    <row r="49" spans="1:23" x14ac:dyDescent="0.35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</row>
    <row r="50" spans="1:23" x14ac:dyDescent="0.35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</row>
    <row r="51" spans="1:23" x14ac:dyDescent="0.35">
      <c r="A51" s="34"/>
      <c r="B51" s="34"/>
      <c r="C51" s="34"/>
      <c r="D51" s="34"/>
      <c r="E51" s="34"/>
      <c r="F51" s="34"/>
      <c r="G51" s="34"/>
      <c r="H51" s="34"/>
      <c r="I51" s="34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4"/>
      <c r="W51" s="34"/>
    </row>
    <row r="52" spans="1:23" x14ac:dyDescent="0.35">
      <c r="A52" s="34"/>
      <c r="B52" s="34"/>
      <c r="C52" s="34"/>
      <c r="D52" s="34"/>
      <c r="E52" s="34"/>
      <c r="F52" s="34"/>
      <c r="G52" s="34"/>
      <c r="H52" s="34"/>
      <c r="I52" s="34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4"/>
      <c r="W52" s="34"/>
    </row>
    <row r="53" spans="1:23" x14ac:dyDescent="0.35">
      <c r="A53" s="34"/>
      <c r="B53" s="34"/>
      <c r="C53" s="34"/>
      <c r="D53" s="34"/>
      <c r="E53" s="34"/>
      <c r="F53" s="34"/>
      <c r="G53" s="34"/>
      <c r="H53" s="34"/>
      <c r="I53" s="34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4"/>
      <c r="W53" s="34"/>
    </row>
    <row r="54" spans="1:23" x14ac:dyDescent="0.35"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</row>
    <row r="55" spans="1:23" x14ac:dyDescent="0.35"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</row>
    <row r="56" spans="1:23" x14ac:dyDescent="0.35"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</row>
    <row r="57" spans="1:23" x14ac:dyDescent="0.35"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</row>
    <row r="58" spans="1:23" x14ac:dyDescent="0.35"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</row>
    <row r="59" spans="1:23" x14ac:dyDescent="0.35"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</row>
    <row r="60" spans="1:23" x14ac:dyDescent="0.35"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</row>
  </sheetData>
  <sheetProtection selectLockedCells="1"/>
  <mergeCells count="18">
    <mergeCell ref="U19:U21"/>
    <mergeCell ref="J38:O39"/>
    <mergeCell ref="D47:E47"/>
    <mergeCell ref="F47:H47"/>
    <mergeCell ref="M19:M21"/>
    <mergeCell ref="N19:N21"/>
    <mergeCell ref="O19:O21"/>
    <mergeCell ref="P19:P21"/>
    <mergeCell ref="Q19:Q21"/>
    <mergeCell ref="S19:S21"/>
    <mergeCell ref="T19:T21"/>
    <mergeCell ref="R19:R21"/>
    <mergeCell ref="L19:L21"/>
    <mergeCell ref="H2:I2"/>
    <mergeCell ref="B9:B10"/>
    <mergeCell ref="C9:F10"/>
    <mergeCell ref="J19:J21"/>
    <mergeCell ref="K19:K21"/>
  </mergeCells>
  <conditionalFormatting sqref="C8:F8">
    <cfRule type="containsText" dxfId="509" priority="5" operator="containsText" text="Fully Successful">
      <formula>NOT(ISERROR(SEARCH("Fully Successful",C8)))</formula>
    </cfRule>
    <cfRule type="containsText" dxfId="508" priority="6" operator="containsText" text="Exceptional">
      <formula>NOT(ISERROR(SEARCH("Exceptional",C8)))</formula>
    </cfRule>
  </conditionalFormatting>
  <conditionalFormatting sqref="C8:F10">
    <cfRule type="containsText" dxfId="507" priority="4" operator="containsText" text="Unacceptable">
      <formula>NOT(ISERROR(SEARCH("Unacceptable",C8)))</formula>
    </cfRule>
  </conditionalFormatting>
  <conditionalFormatting sqref="C9:F10">
    <cfRule type="containsText" dxfId="506" priority="49" operator="containsText" text="Outstanding">
      <formula>NOT(ISERROR(SEARCH("Outstanding",C9)))</formula>
    </cfRule>
    <cfRule type="containsText" dxfId="505" priority="46" operator="containsText" text="Minimally Successful">
      <formula>NOT(ISERROR(SEARCH("Minimally Successful",C9)))</formula>
    </cfRule>
    <cfRule type="containsText" dxfId="504" priority="47" operator="containsText" text="Fully Successful">
      <formula>NOT(ISERROR(SEARCH("Fully Successful",C9)))</formula>
    </cfRule>
    <cfRule type="containsText" dxfId="503" priority="48" operator="containsText" text="Excellent">
      <formula>NOT(ISERROR(SEARCH("Excellent",C9)))</formula>
    </cfRule>
  </conditionalFormatting>
  <conditionalFormatting sqref="E7">
    <cfRule type="cellIs" dxfId="482" priority="24" operator="notEqual">
      <formula>1</formula>
    </cfRule>
  </conditionalFormatting>
  <conditionalFormatting sqref="H3">
    <cfRule type="cellIs" dxfId="470" priority="68" operator="notEqual">
      <formula>1</formula>
    </cfRule>
  </conditionalFormatting>
  <conditionalFormatting sqref="H4">
    <cfRule type="cellIs" dxfId="469" priority="62" operator="notEqual">
      <formula>1</formula>
    </cfRule>
  </conditionalFormatting>
  <conditionalFormatting sqref="H5">
    <cfRule type="cellIs" dxfId="468" priority="67" operator="notEqual">
      <formula>1</formula>
    </cfRule>
  </conditionalFormatting>
  <conditionalFormatting sqref="H6">
    <cfRule type="cellIs" dxfId="467" priority="66" operator="notEqual">
      <formula>1</formula>
    </cfRule>
  </conditionalFormatting>
  <conditionalFormatting sqref="H7">
    <cfRule type="cellIs" dxfId="466" priority="65" operator="notEqual">
      <formula>1</formula>
    </cfRule>
  </conditionalFormatting>
  <conditionalFormatting sqref="H8">
    <cfRule type="cellIs" dxfId="465" priority="64" operator="notEqual">
      <formula>1</formula>
    </cfRule>
  </conditionalFormatting>
  <conditionalFormatting sqref="H9">
    <cfRule type="cellIs" dxfId="464" priority="63" operator="notEqual">
      <formula>1</formula>
    </cfRule>
  </conditionalFormatting>
  <conditionalFormatting sqref="J19">
    <cfRule type="containsText" dxfId="463" priority="53" operator="containsText" text="Not Fulfilled">
      <formula>NOT(ISERROR(SEARCH("Not Fulfilled",J19)))</formula>
    </cfRule>
    <cfRule type="containsText" dxfId="462" priority="54" operator="containsText" text="Exceptional">
      <formula>NOT(ISERROR(SEARCH("Exceptional",J19)))</formula>
    </cfRule>
    <cfRule type="beginsWith" dxfId="461" priority="55" operator="beginsWith" text="Fully Successful">
      <formula>LEFT(J19,LEN("Fully Successful"))="Fully Successful"</formula>
    </cfRule>
    <cfRule type="beginsWith" dxfId="460" priority="56" operator="beginsWith" text="Not Fully Successful">
      <formula>LEFT(J19,LEN("Not Fully Successful"))="Not Fully Successful"</formula>
    </cfRule>
    <cfRule type="beginsWith" dxfId="459" priority="52" operator="beginsWith" text="Fulfilled">
      <formula>LEFT(J19,LEN("Fulfilled"))="Fulfilled"</formula>
    </cfRule>
  </conditionalFormatting>
  <conditionalFormatting sqref="L2 Q2 S2">
    <cfRule type="beginsWith" dxfId="458" priority="57" operator="beginsWith" text="Fulfilled">
      <formula>LEFT(L2,LEN("Fulfilled"))="Fulfilled"</formula>
    </cfRule>
    <cfRule type="containsText" dxfId="457" priority="58" operator="containsText" text="Not Fulfilled">
      <formula>NOT(ISERROR(SEARCH("Not Fulfilled",L2)))</formula>
    </cfRule>
    <cfRule type="containsText" dxfId="456" priority="59" operator="containsText" text="Exceptional">
      <formula>NOT(ISERROR(SEARCH("Exceptional",L2)))</formula>
    </cfRule>
    <cfRule type="beginsWith" dxfId="455" priority="61" operator="beginsWith" text="Not Fully Successful">
      <formula>LEFT(L2,LEN("Not Fully Successful"))="Not Fully Successful"</formula>
    </cfRule>
    <cfRule type="beginsWith" dxfId="454" priority="60" operator="beginsWith" text="Fully Successful">
      <formula>LEFT(L2,LEN("Fully Successful"))="Fully Successful"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44" operator="greaterThan" id="{6C45334D-1757-49F3-8AE6-B067FEDD9744}">
            <xm:f>SetUp!C7</xm:f>
            <x14:dxf>
              <font>
                <color auto="1"/>
              </font>
              <fill>
                <patternFill>
                  <bgColor rgb="FFFF0000"/>
                </patternFill>
              </fill>
            </x14:dxf>
          </x14:cfRule>
          <x14:cfRule type="cellIs" priority="43" operator="lessThanOrEqual" id="{EE24F9F5-6B1B-4683-88D1-F5FA9DFB8E63}">
            <xm:f>SetUp!C7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14:cfRule type="cellIs" priority="42" operator="lessThanOrEqual" id="{4D8BAD7F-52AF-430A-A75A-A5177E9562ED}">
            <xm:f>SetUp!D7</xm:f>
            <x14:dxf>
              <font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m:sqref>C3</xm:sqref>
        </x14:conditionalFormatting>
        <x14:conditionalFormatting xmlns:xm="http://schemas.microsoft.com/office/excel/2006/main">
          <x14:cfRule type="cellIs" priority="39" stopIfTrue="1" operator="greaterThanOrEqual" id="{83A814C2-F3BF-4D46-AA95-03D13FCD9ACB}">
            <xm:f>SetUp!D8</xm:f>
            <x14:dxf>
              <font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ellIs" priority="40" operator="greaterThanOrEqual" id="{DA60BB1E-ADEB-4A70-8853-1819CF068C3D}">
            <xm:f>SetUp!C8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14:cfRule type="cellIs" priority="41" operator="lessThan" id="{057187B7-1CF0-443B-94DF-DCEFA3C34F80}">
            <xm:f>SetUp!C8</xm:f>
            <x14:dxf>
              <font>
                <color auto="1"/>
              </font>
              <fill>
                <patternFill>
                  <bgColor rgb="FFFF0000"/>
                </patternFill>
              </fill>
            </x14:dxf>
          </x14:cfRule>
          <xm:sqref>C4</xm:sqref>
        </x14:conditionalFormatting>
        <x14:conditionalFormatting xmlns:xm="http://schemas.microsoft.com/office/excel/2006/main">
          <x14:cfRule type="cellIs" priority="38" operator="lessThan" id="{01BE534B-0069-47BC-9AE4-1D87F24BD3D9}">
            <xm:f>SetUp!C12</xm:f>
            <x14:dxf>
              <font>
                <color theme="1"/>
              </font>
              <fill>
                <patternFill>
                  <bgColor theme="7" tint="0.79998168889431442"/>
                </patternFill>
              </fill>
            </x14:dxf>
          </x14:cfRule>
          <xm:sqref>C5</xm:sqref>
        </x14:conditionalFormatting>
        <x14:conditionalFormatting xmlns:xm="http://schemas.microsoft.com/office/excel/2006/main">
          <x14:cfRule type="cellIs" priority="3" operator="greaterThanOrEqual" id="{2F97A683-C897-4911-BB4D-9B1584720AE2}">
            <xm:f>SetUp!C12</xm:f>
            <x14:dxf>
              <font>
                <color theme="0"/>
              </font>
              <fill>
                <patternFill>
                  <bgColor theme="7" tint="-0.24994659260841701"/>
                </patternFill>
              </fill>
            </x14:dxf>
          </x14:cfRule>
          <xm:sqref>C5:C7</xm:sqref>
        </x14:conditionalFormatting>
        <x14:conditionalFormatting xmlns:xm="http://schemas.microsoft.com/office/excel/2006/main">
          <x14:cfRule type="cellIs" priority="15" operator="lessThan" id="{59DC4EAD-3998-488F-BB82-2ADBF15D3AF5}">
            <xm:f>SetUp!C13</xm:f>
            <x14:dxf>
              <fill>
                <patternFill>
                  <bgColor theme="7" tint="0.79998168889431442"/>
                </patternFill>
              </fill>
            </x14:dxf>
          </x14:cfRule>
          <xm:sqref>C6:C7</xm:sqref>
        </x14:conditionalFormatting>
        <x14:conditionalFormatting xmlns:xm="http://schemas.microsoft.com/office/excel/2006/main">
          <x14:cfRule type="cellIs" priority="36" operator="greaterThanOrEqual" id="{61E3017F-DF92-437A-A4FC-54681EDB618A}">
            <xm:f>SetUp!E7</xm:f>
            <x14:dxf>
              <fill>
                <patternFill>
                  <bgColor theme="9" tint="0.79998168889431442"/>
                </patternFill>
              </fill>
            </x14:dxf>
          </x14:cfRule>
          <x14:cfRule type="cellIs" priority="37" operator="lessThan" id="{E1942D9A-E9F7-4C7D-913B-DC25B5F26058}">
            <xm:f>SetUp!E7</xm:f>
            <x14:dxf>
              <fill>
                <patternFill>
                  <bgColor rgb="FFFF0000"/>
                </patternFill>
              </fill>
            </x14:dxf>
          </x14:cfRule>
          <x14:cfRule type="cellIs" priority="35" stopIfTrue="1" operator="greaterThanOrEqual" id="{A6226CB2-E671-4D42-B7CA-12E915A80D7C}">
            <xm:f>SetUp!F7</xm:f>
            <x14:dxf>
              <font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m:sqref>D3 D5</xm:sqref>
        </x14:conditionalFormatting>
        <x14:conditionalFormatting xmlns:xm="http://schemas.microsoft.com/office/excel/2006/main">
          <x14:cfRule type="cellIs" priority="32" operator="greaterThan" id="{D8E0138D-3032-4BBE-978A-5408F935992F}">
            <xm:f>SetUp!E8</xm:f>
            <x14:dxf>
              <fill>
                <patternFill>
                  <bgColor rgb="FFFF0000"/>
                </patternFill>
              </fill>
            </x14:dxf>
          </x14:cfRule>
          <x14:cfRule type="cellIs" priority="33" stopIfTrue="1" operator="lessThanOrEqual" id="{A409B0BA-DF8F-4D41-9F04-859D6FD71DB0}">
            <xm:f>SetUp!F8</xm:f>
            <x14:dxf>
              <font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ellIs" priority="34" operator="lessThanOrEqual" id="{253F50A5-4B4C-4E03-BF87-62BD284FC031}">
            <xm:f>SetUp!E8</xm:f>
            <x14:dxf>
              <fill>
                <patternFill>
                  <bgColor theme="9" tint="0.79998168889431442"/>
                </patternFill>
              </fill>
            </x14:dxf>
          </x14:cfRule>
          <xm:sqref>D4</xm:sqref>
        </x14:conditionalFormatting>
        <x14:conditionalFormatting xmlns:xm="http://schemas.microsoft.com/office/excel/2006/main">
          <x14:cfRule type="cellIs" priority="17" operator="lessThan" id="{31FF5BE3-45DB-4E86-9FBF-AC92F619E025}">
            <xm:f>SetUp!E13</xm:f>
            <x14:dxf>
              <fill>
                <patternFill>
                  <bgColor theme="7" tint="0.79998168889431442"/>
                </patternFill>
              </fill>
            </x14:dxf>
          </x14:cfRule>
          <x14:cfRule type="cellIs" priority="18" operator="greaterThanOrEqual" id="{02D3BCD7-E94F-425B-A3C0-F23CCD3D354D}">
            <xm:f>SetUp!E13</xm:f>
            <x14:dxf>
              <font>
                <color theme="0"/>
              </font>
              <fill>
                <patternFill>
                  <bgColor theme="7" tint="-0.24994659260841701"/>
                </patternFill>
              </fill>
            </x14:dxf>
          </x14:cfRule>
          <xm:sqref>D6</xm:sqref>
        </x14:conditionalFormatting>
        <x14:conditionalFormatting xmlns:xm="http://schemas.microsoft.com/office/excel/2006/main">
          <x14:cfRule type="cellIs" priority="13" operator="greaterThanOrEqual" id="{13E72C10-0B1A-4DA2-9EFF-C3CDEB0851E6}">
            <xm:f>SetUp!$E$14</xm:f>
            <x14:dxf>
              <font>
                <color theme="0"/>
              </font>
              <fill>
                <patternFill>
                  <bgColor theme="7" tint="-0.24994659260841701"/>
                </patternFill>
              </fill>
            </x14:dxf>
          </x14:cfRule>
          <x14:cfRule type="cellIs" priority="14" operator="lessThan" id="{4B983ED6-120A-484D-A4F8-04D921DF839C}">
            <xm:f>SetUp!$E$14</xm:f>
            <x14:dxf>
              <fill>
                <patternFill>
                  <bgColor theme="7" tint="0.79998168889431442"/>
                </patternFill>
              </fill>
            </x14:dxf>
          </x14:cfRule>
          <xm:sqref>D7</xm:sqref>
        </x14:conditionalFormatting>
        <x14:conditionalFormatting xmlns:xm="http://schemas.microsoft.com/office/excel/2006/main">
          <x14:cfRule type="cellIs" priority="29" operator="lessThan" id="{ABF7D6E1-118D-450E-8AEC-A2A07B4DA461}">
            <xm:f>SetUp!G7</xm:f>
            <x14:dxf>
              <fill>
                <patternFill>
                  <bgColor rgb="FFFF0000"/>
                </patternFill>
              </fill>
            </x14:dxf>
          </x14:cfRule>
          <x14:cfRule type="cellIs" priority="30" stopIfTrue="1" operator="greaterThanOrEqual" id="{0C830982-A7B8-4813-96F3-8CAB272F3E28}">
            <xm:f>SetUp!H7</xm:f>
            <x14:dxf>
              <font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ellIs" priority="31" operator="greaterThanOrEqual" id="{3D1E1D06-BF84-47C3-A956-1CF2C1D7AC36}">
            <xm:f>SetUp!G7</xm:f>
            <x14:dxf>
              <fill>
                <patternFill>
                  <bgColor theme="9" tint="0.79998168889431442"/>
                </patternFill>
              </fill>
            </x14:dxf>
          </x14:cfRule>
          <xm:sqref>E3</xm:sqref>
        </x14:conditionalFormatting>
        <x14:conditionalFormatting xmlns:xm="http://schemas.microsoft.com/office/excel/2006/main">
          <x14:cfRule type="cellIs" priority="26" operator="greaterThan" id="{93E5E4F4-A65F-417C-83FC-056AACBD5256}">
            <xm:f>SetUp!G8</xm:f>
            <x14:dxf>
              <fill>
                <patternFill>
                  <bgColor rgb="FFFF0000"/>
                </patternFill>
              </fill>
            </x14:dxf>
          </x14:cfRule>
          <x14:cfRule type="cellIs" priority="27" operator="lessThanOrEqual" id="{BCEFAEBE-8741-4268-A8C0-70EC0DF07FCE}">
            <xm:f>SetUp!H8</xm:f>
            <x14:dxf>
              <font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ellIs" priority="28" operator="lessThanOrEqual" id="{0D4A17B5-F995-488B-9985-A81E68A7A91A}">
            <xm:f>SetUp!G8</xm:f>
            <x14:dxf>
              <fill>
                <patternFill>
                  <bgColor theme="9" tint="0.79998168889431442"/>
                </patternFill>
              </fill>
            </x14:dxf>
          </x14:cfRule>
          <xm:sqref>E4</xm:sqref>
        </x14:conditionalFormatting>
        <x14:conditionalFormatting xmlns:xm="http://schemas.microsoft.com/office/excel/2006/main">
          <x14:cfRule type="cellIs" priority="25" operator="lessThan" id="{C92EF9AA-AD0E-4E73-8E1E-2782D474CC5D}">
            <xm:f>SetUp!G12</xm:f>
            <x14:dxf>
              <fill>
                <patternFill>
                  <bgColor theme="7" tint="0.79998168889431442"/>
                </patternFill>
              </fill>
            </x14:dxf>
          </x14:cfRule>
          <x14:cfRule type="cellIs" priority="16" operator="greaterThanOrEqual" id="{543FA3B4-23DB-4A8D-9F15-AD8BD9179F14}">
            <xm:f>SetUp!G12</xm:f>
            <x14:dxf>
              <font>
                <color theme="0"/>
              </font>
              <fill>
                <patternFill>
                  <bgColor theme="7" tint="-0.24994659260841701"/>
                </patternFill>
              </fill>
            </x14:dxf>
          </x14:cfRule>
          <xm:sqref>E5</xm:sqref>
        </x14:conditionalFormatting>
        <x14:conditionalFormatting xmlns:xm="http://schemas.microsoft.com/office/excel/2006/main">
          <x14:cfRule type="cellIs" priority="1" operator="greaterThanOrEqual" id="{66A7129B-7C64-4927-AF70-21C958AA3F2C}">
            <xm:f>SetUp!$G$13</xm:f>
            <x14:dxf>
              <font>
                <color theme="0"/>
              </font>
              <fill>
                <patternFill>
                  <bgColor theme="7" tint="-0.24994659260841701"/>
                </patternFill>
              </fill>
            </x14:dxf>
          </x14:cfRule>
          <x14:cfRule type="cellIs" priority="2" operator="lessThan" id="{AA927FDD-6773-4BD5-B8E3-C98BE2EE88D6}">
            <xm:f>SetUp!$G$13</xm:f>
            <x14:dxf>
              <fill>
                <patternFill>
                  <bgColor theme="7" tint="0.79998168889431442"/>
                </patternFill>
              </fill>
            </x14:dxf>
          </x14:cfRule>
          <xm:sqref>E6</xm:sqref>
        </x14:conditionalFormatting>
        <x14:conditionalFormatting xmlns:xm="http://schemas.microsoft.com/office/excel/2006/main">
          <x14:cfRule type="cellIs" priority="21" operator="lessThan" id="{241A4AAC-AC86-475C-8777-AFF932B36C01}">
            <xm:f>SetUp!I7</xm:f>
            <x14:dxf>
              <fill>
                <patternFill>
                  <bgColor rgb="FFFF0000"/>
                </patternFill>
              </fill>
            </x14:dxf>
          </x14:cfRule>
          <x14:cfRule type="cellIs" priority="23" operator="greaterThanOrEqual" id="{6550BA81-62D2-4FFA-93E7-EE9C7DC7C025}">
            <xm:f>SetUp!I7</xm:f>
            <x14:dxf>
              <fill>
                <patternFill>
                  <bgColor theme="9" tint="0.79998168889431442"/>
                </patternFill>
              </fill>
            </x14:dxf>
          </x14:cfRule>
          <x14:cfRule type="cellIs" priority="22" operator="equal" id="{C37FBBDC-D6CA-46C7-B81A-AF6F00CDE648}">
            <xm:f>SetUp!J7</xm:f>
            <x14:dxf>
              <font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m:sqref>F3</xm:sqref>
        </x14:conditionalFormatting>
        <x14:conditionalFormatting xmlns:xm="http://schemas.microsoft.com/office/excel/2006/main">
          <x14:cfRule type="cellIs" priority="20" operator="greaterThan" id="{E12FBD62-5C94-464E-93A0-E729723B7038}">
            <xm:f>SetUp!I11</xm:f>
            <x14:dxf>
              <fill>
                <patternFill>
                  <bgColor theme="7" tint="0.79998168889431442"/>
                </patternFill>
              </fill>
            </x14:dxf>
          </x14:cfRule>
          <x14:cfRule type="cellIs" priority="19" operator="lessThanOrEqual" id="{2E7406C3-BFBB-4EC4-94EF-3DE593C8B867}">
            <xm:f>SetUp!I11</xm:f>
            <x14:dxf>
              <font>
                <color theme="0"/>
              </font>
              <fill>
                <patternFill>
                  <bgColor theme="7" tint="-0.24994659260841701"/>
                </patternFill>
              </fill>
            </x14:dxf>
          </x14:cfRule>
          <xm:sqref>F4</xm:sqref>
        </x14:conditionalFormatting>
        <x14:conditionalFormatting xmlns:xm="http://schemas.microsoft.com/office/excel/2006/main">
          <x14:cfRule type="cellIs" priority="12" operator="greaterThanOrEqual" id="{33E74170-D478-426F-84AC-177F883680C3}">
            <xm:f>SetUp!$I$12</xm:f>
            <x14:dxf>
              <font>
                <color theme="0"/>
              </font>
              <fill>
                <patternFill>
                  <bgColor theme="7" tint="-0.24994659260841701"/>
                </patternFill>
              </fill>
            </x14:dxf>
          </x14:cfRule>
          <x14:cfRule type="cellIs" priority="11" operator="lessThan" id="{61503A79-0DBD-4F95-BF71-B60F999D53AA}">
            <xm:f>SetUp!$I$12</xm:f>
            <x14:dxf>
              <fill>
                <patternFill>
                  <bgColor theme="7" tint="0.79998168889431442"/>
                </patternFill>
              </fill>
            </x14:dxf>
          </x14:cfRule>
          <xm:sqref>F5</xm:sqref>
        </x14:conditionalFormatting>
        <x14:conditionalFormatting xmlns:xm="http://schemas.microsoft.com/office/excel/2006/main">
          <x14:cfRule type="cellIs" priority="9" operator="lessThan" id="{93ED6127-6ACF-4D85-B363-273E97504F66}">
            <xm:f>SetUp!$I$13</xm:f>
            <x14:dxf>
              <fill>
                <patternFill>
                  <bgColor theme="7" tint="0.79998168889431442"/>
                </patternFill>
              </fill>
            </x14:dxf>
          </x14:cfRule>
          <x14:cfRule type="cellIs" priority="10" operator="greaterThanOrEqual" id="{4C0FEBC6-5D00-4DAC-BC83-1E8B7333050B}">
            <xm:f>SetUp!$I$13</xm:f>
            <x14:dxf>
              <font>
                <color theme="0"/>
              </font>
              <fill>
                <patternFill>
                  <bgColor theme="7" tint="-0.24994659260841701"/>
                </patternFill>
              </fill>
            </x14:dxf>
          </x14:cfRule>
          <xm:sqref>F6</xm:sqref>
        </x14:conditionalFormatting>
        <x14:conditionalFormatting xmlns:xm="http://schemas.microsoft.com/office/excel/2006/main">
          <x14:cfRule type="cellIs" priority="8" operator="greaterThanOrEqual" id="{E00AF93A-684D-4F22-AA18-E1775BDDF4B8}">
            <xm:f>SetUp!$I$14</xm:f>
            <x14:dxf>
              <font>
                <color theme="0"/>
              </font>
              <fill>
                <patternFill>
                  <bgColor theme="7" tint="-0.24994659260841701"/>
                </patternFill>
              </fill>
            </x14:dxf>
          </x14:cfRule>
          <x14:cfRule type="cellIs" priority="7" operator="lessThan" id="{90BA33E9-7882-4BFA-80B8-17325B8944C6}">
            <xm:f>SetUp!$I$14</xm:f>
            <x14:dxf>
              <fill>
                <patternFill>
                  <bgColor theme="7" tint="0.79998168889431442"/>
                </patternFill>
              </fill>
            </x14:dxf>
          </x14:cfRule>
          <xm:sqref>F7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5E113-F442-4379-BAF5-55CD529EE97F}">
  <dimension ref="A1:W60"/>
  <sheetViews>
    <sheetView workbookViewId="0">
      <selection activeCell="Q13" sqref="Q13"/>
    </sheetView>
  </sheetViews>
  <sheetFormatPr defaultColWidth="12" defaultRowHeight="14.5" x14ac:dyDescent="0.35"/>
  <cols>
    <col min="1" max="1" width="4.1796875" style="13" customWidth="1"/>
    <col min="2" max="2" width="12.81640625" style="13" bestFit="1" customWidth="1"/>
    <col min="3" max="5" width="15.54296875" style="13" bestFit="1" customWidth="1"/>
    <col min="6" max="6" width="14.81640625" style="13" customWidth="1"/>
    <col min="7" max="7" width="7.81640625" style="13" bestFit="1" customWidth="1"/>
    <col min="8" max="8" width="6.1796875" style="13" bestFit="1" customWidth="1"/>
    <col min="9" max="9" width="15.54296875" style="13" bestFit="1" customWidth="1"/>
    <col min="10" max="10" width="6.7265625" style="13" bestFit="1" customWidth="1"/>
    <col min="11" max="11" width="14.1796875" style="13" customWidth="1"/>
    <col min="12" max="12" width="14.453125" style="13" customWidth="1"/>
    <col min="13" max="13" width="13.7265625" style="13" customWidth="1"/>
    <col min="14" max="14" width="15.54296875" style="13" customWidth="1"/>
    <col min="15" max="15" width="13.7265625" style="13" customWidth="1"/>
    <col min="16" max="16" width="14.453125" style="13" customWidth="1"/>
    <col min="17" max="17" width="12" style="13" customWidth="1"/>
    <col min="18" max="18" width="15.1796875" style="13" customWidth="1"/>
    <col min="19" max="19" width="12.81640625" style="13" customWidth="1"/>
    <col min="20" max="20" width="10.7265625" style="13" bestFit="1" customWidth="1"/>
    <col min="21" max="21" width="14.26953125" style="13" customWidth="1"/>
    <col min="22" max="22" width="4.453125" style="13" customWidth="1"/>
    <col min="23" max="16384" width="12" style="13"/>
  </cols>
  <sheetData>
    <row r="1" spans="1:23" ht="15" thickBot="1" x14ac:dyDescent="0.4">
      <c r="A1" s="34"/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</row>
    <row r="2" spans="1:23" ht="59" thickTop="1" thickBot="1" x14ac:dyDescent="0.4">
      <c r="A2" s="34"/>
      <c r="B2" s="12"/>
      <c r="C2" s="41" t="s">
        <v>43</v>
      </c>
      <c r="D2" s="42" t="s">
        <v>44</v>
      </c>
      <c r="E2" s="42" t="s">
        <v>45</v>
      </c>
      <c r="F2" s="43" t="s">
        <v>3</v>
      </c>
      <c r="G2" s="34"/>
      <c r="H2" s="133" t="s">
        <v>11</v>
      </c>
      <c r="I2" s="134"/>
      <c r="J2" s="34"/>
      <c r="K2" s="14" t="s">
        <v>21</v>
      </c>
      <c r="L2" s="46" t="s">
        <v>186</v>
      </c>
      <c r="M2" s="97" t="s">
        <v>187</v>
      </c>
      <c r="N2" s="97" t="s">
        <v>189</v>
      </c>
      <c r="O2" s="28" t="s">
        <v>190</v>
      </c>
      <c r="P2" s="97" t="s">
        <v>191</v>
      </c>
      <c r="Q2" s="28" t="s">
        <v>194</v>
      </c>
      <c r="R2" s="28" t="s">
        <v>195</v>
      </c>
      <c r="S2" s="28" t="s">
        <v>198</v>
      </c>
      <c r="T2" s="29" t="s">
        <v>25</v>
      </c>
      <c r="U2" s="34"/>
      <c r="V2" s="34"/>
      <c r="W2" s="34"/>
    </row>
    <row r="3" spans="1:23" ht="15" thickTop="1" x14ac:dyDescent="0.35">
      <c r="A3" s="34"/>
      <c r="B3" s="15" t="s">
        <v>4</v>
      </c>
      <c r="C3" s="60">
        <f>L16</f>
        <v>0</v>
      </c>
      <c r="D3" s="61">
        <f>N16</f>
        <v>100</v>
      </c>
      <c r="E3" s="61">
        <f>Q16</f>
        <v>3.1466308484441461</v>
      </c>
      <c r="F3" s="62">
        <f>S16</f>
        <v>100</v>
      </c>
      <c r="G3" s="39"/>
      <c r="H3" s="16"/>
      <c r="I3" s="17" t="s">
        <v>41</v>
      </c>
      <c r="J3" s="34"/>
      <c r="K3" s="45">
        <v>10</v>
      </c>
      <c r="L3" s="47">
        <v>0</v>
      </c>
      <c r="M3" s="48">
        <v>0</v>
      </c>
      <c r="N3" s="48">
        <v>0</v>
      </c>
      <c r="O3" s="48">
        <v>1</v>
      </c>
      <c r="P3" s="48">
        <v>0</v>
      </c>
      <c r="Q3" s="48">
        <v>286</v>
      </c>
      <c r="R3" s="48">
        <v>0</v>
      </c>
      <c r="S3" s="48">
        <v>0</v>
      </c>
      <c r="T3" s="49">
        <v>0</v>
      </c>
      <c r="U3" s="34"/>
      <c r="V3" s="34"/>
      <c r="W3" s="34"/>
    </row>
    <row r="4" spans="1:23" ht="15" thickBot="1" x14ac:dyDescent="0.4">
      <c r="A4" s="34"/>
      <c r="B4" s="15" t="s">
        <v>5</v>
      </c>
      <c r="C4" s="73">
        <f>M16</f>
        <v>100</v>
      </c>
      <c r="D4" s="61">
        <f>O16</f>
        <v>0.17074558907228229</v>
      </c>
      <c r="E4" s="74">
        <f>R15</f>
        <v>0</v>
      </c>
      <c r="F4" s="72">
        <f>R34</f>
        <v>0</v>
      </c>
      <c r="G4" s="34"/>
      <c r="H4" s="16"/>
      <c r="I4" s="17" t="s">
        <v>42</v>
      </c>
      <c r="J4" s="34"/>
      <c r="K4" s="18">
        <v>11</v>
      </c>
      <c r="L4" s="50">
        <v>0</v>
      </c>
      <c r="M4" s="51">
        <v>0</v>
      </c>
      <c r="N4" s="51">
        <v>0</v>
      </c>
      <c r="O4" s="51">
        <v>0</v>
      </c>
      <c r="P4" s="51">
        <v>0</v>
      </c>
      <c r="Q4" s="51">
        <v>396</v>
      </c>
      <c r="R4" s="51">
        <v>0</v>
      </c>
      <c r="S4" s="51">
        <v>0</v>
      </c>
      <c r="T4" s="52">
        <v>5</v>
      </c>
      <c r="U4" s="34"/>
      <c r="V4" s="34"/>
      <c r="W4" s="34"/>
    </row>
    <row r="5" spans="1:23" ht="15.5" thickTop="1" thickBot="1" x14ac:dyDescent="0.4">
      <c r="A5" s="34"/>
      <c r="B5" s="15" t="s">
        <v>6</v>
      </c>
      <c r="C5" s="69">
        <f>K34</f>
        <v>0</v>
      </c>
      <c r="D5" s="74">
        <f>P16</f>
        <v>100</v>
      </c>
      <c r="E5" s="70">
        <f>P34</f>
        <v>10</v>
      </c>
      <c r="F5" s="71">
        <f>S34</f>
        <v>0</v>
      </c>
      <c r="G5" s="34"/>
      <c r="H5" s="16"/>
      <c r="I5" s="17" t="s">
        <v>9</v>
      </c>
      <c r="J5" s="34"/>
      <c r="K5" s="18">
        <v>12</v>
      </c>
      <c r="L5" s="50">
        <v>0</v>
      </c>
      <c r="M5" s="51">
        <v>0</v>
      </c>
      <c r="N5" s="51">
        <v>0</v>
      </c>
      <c r="O5" s="51">
        <v>1</v>
      </c>
      <c r="P5" s="51">
        <v>0</v>
      </c>
      <c r="Q5" s="51">
        <v>299</v>
      </c>
      <c r="R5" s="51">
        <v>0</v>
      </c>
      <c r="S5" s="51">
        <v>0</v>
      </c>
      <c r="T5" s="52">
        <v>1</v>
      </c>
      <c r="U5" s="34"/>
      <c r="V5" s="34"/>
      <c r="W5" s="34"/>
    </row>
    <row r="6" spans="1:23" ht="15" thickTop="1" x14ac:dyDescent="0.35">
      <c r="A6" s="34"/>
      <c r="B6" s="15" t="s">
        <v>7</v>
      </c>
      <c r="C6" s="63">
        <f>L34</f>
        <v>2</v>
      </c>
      <c r="D6" s="70">
        <f>N34</f>
        <v>10</v>
      </c>
      <c r="E6" s="64">
        <f>Q34</f>
        <v>1</v>
      </c>
      <c r="F6" s="65">
        <f>T34</f>
        <v>0</v>
      </c>
      <c r="G6" s="34"/>
      <c r="H6" s="16"/>
      <c r="I6" s="17" t="s">
        <v>10</v>
      </c>
      <c r="J6" s="34"/>
      <c r="K6" s="18">
        <v>1</v>
      </c>
      <c r="L6" s="50">
        <v>0</v>
      </c>
      <c r="M6" s="51">
        <v>0</v>
      </c>
      <c r="N6" s="51">
        <v>0</v>
      </c>
      <c r="O6" s="51">
        <v>2</v>
      </c>
      <c r="P6" s="51">
        <v>0</v>
      </c>
      <c r="Q6" s="51">
        <v>196</v>
      </c>
      <c r="R6" s="51">
        <v>0</v>
      </c>
      <c r="S6" s="51">
        <v>0</v>
      </c>
      <c r="T6" s="52">
        <v>8</v>
      </c>
      <c r="U6" s="34"/>
      <c r="V6" s="34"/>
      <c r="W6" s="34"/>
    </row>
    <row r="7" spans="1:23" ht="15" thickBot="1" x14ac:dyDescent="0.4">
      <c r="A7" s="34"/>
      <c r="B7" s="19" t="s">
        <v>8</v>
      </c>
      <c r="C7" s="66">
        <f>M34</f>
        <v>0</v>
      </c>
      <c r="D7" s="67">
        <f>O34</f>
        <v>1</v>
      </c>
      <c r="E7" s="67"/>
      <c r="F7" s="68">
        <f>U34</f>
        <v>7</v>
      </c>
      <c r="G7" s="34"/>
      <c r="H7" s="16"/>
      <c r="I7" s="17" t="s">
        <v>14</v>
      </c>
      <c r="J7" s="34"/>
      <c r="K7" s="18">
        <v>2</v>
      </c>
      <c r="L7" s="50">
        <v>0</v>
      </c>
      <c r="M7" s="51">
        <v>0</v>
      </c>
      <c r="N7" s="51">
        <v>0</v>
      </c>
      <c r="O7" s="51">
        <v>0</v>
      </c>
      <c r="P7" s="51">
        <v>0</v>
      </c>
      <c r="Q7" s="51">
        <v>228</v>
      </c>
      <c r="R7" s="51">
        <v>0</v>
      </c>
      <c r="S7" s="51">
        <v>0</v>
      </c>
      <c r="T7" s="52">
        <v>1</v>
      </c>
      <c r="U7" s="34"/>
      <c r="V7" s="34"/>
      <c r="W7" s="34"/>
    </row>
    <row r="8" spans="1:23" ht="20.25" customHeight="1" thickTop="1" thickBot="1" x14ac:dyDescent="0.4">
      <c r="A8" s="34"/>
      <c r="B8" s="20" t="s">
        <v>12</v>
      </c>
      <c r="C8" s="21" t="str">
        <f>K42</f>
        <v>Exceptional</v>
      </c>
      <c r="D8" s="21" t="str">
        <f>L42</f>
        <v>Exceptional</v>
      </c>
      <c r="E8" s="21" t="str">
        <f>M42</f>
        <v>Exceptional</v>
      </c>
      <c r="F8" s="21" t="str">
        <f>N42</f>
        <v>Exceptional</v>
      </c>
      <c r="G8" s="34"/>
      <c r="H8" s="22"/>
      <c r="I8" s="23" t="s">
        <v>13</v>
      </c>
      <c r="J8" s="34"/>
      <c r="K8" s="18">
        <v>3</v>
      </c>
      <c r="L8" s="50">
        <v>0</v>
      </c>
      <c r="M8" s="51">
        <v>0</v>
      </c>
      <c r="N8" s="51">
        <v>0</v>
      </c>
      <c r="O8" s="51">
        <v>1</v>
      </c>
      <c r="P8" s="51">
        <v>0</v>
      </c>
      <c r="Q8" s="51">
        <v>293</v>
      </c>
      <c r="R8" s="51">
        <v>0</v>
      </c>
      <c r="S8" s="51">
        <v>0</v>
      </c>
      <c r="T8" s="52">
        <v>3</v>
      </c>
      <c r="U8" s="34"/>
      <c r="V8" s="34"/>
      <c r="W8" s="34"/>
    </row>
    <row r="9" spans="1:23" ht="15" thickTop="1" x14ac:dyDescent="0.35">
      <c r="A9" s="34"/>
      <c r="B9" s="135" t="s">
        <v>31</v>
      </c>
      <c r="C9" s="137" t="str">
        <f>N44</f>
        <v>OutStanding</v>
      </c>
      <c r="D9" s="138"/>
      <c r="E9" s="138"/>
      <c r="F9" s="139"/>
      <c r="G9" s="34"/>
      <c r="H9" s="22"/>
      <c r="I9" s="23" t="s">
        <v>40</v>
      </c>
      <c r="J9" s="34"/>
      <c r="K9" s="18">
        <v>4</v>
      </c>
      <c r="L9" s="50">
        <v>0</v>
      </c>
      <c r="M9" s="51">
        <v>0</v>
      </c>
      <c r="N9" s="51">
        <v>0</v>
      </c>
      <c r="O9" s="51">
        <v>0</v>
      </c>
      <c r="P9" s="51">
        <v>0</v>
      </c>
      <c r="Q9" s="51">
        <v>250</v>
      </c>
      <c r="R9" s="51">
        <v>0</v>
      </c>
      <c r="S9" s="51">
        <v>0</v>
      </c>
      <c r="T9" s="52">
        <v>2</v>
      </c>
      <c r="U9" s="34"/>
      <c r="V9" s="34"/>
      <c r="W9" s="34"/>
    </row>
    <row r="10" spans="1:23" ht="15" thickBot="1" x14ac:dyDescent="0.4">
      <c r="A10" s="34"/>
      <c r="B10" s="136"/>
      <c r="C10" s="140"/>
      <c r="D10" s="141"/>
      <c r="E10" s="141"/>
      <c r="F10" s="142"/>
      <c r="G10" s="34"/>
      <c r="H10" s="24" t="s">
        <v>46</v>
      </c>
      <c r="I10" s="25" t="s">
        <v>47</v>
      </c>
      <c r="J10" s="34"/>
      <c r="K10" s="18">
        <v>5</v>
      </c>
      <c r="L10" s="50">
        <v>0</v>
      </c>
      <c r="M10" s="51">
        <v>0</v>
      </c>
      <c r="N10" s="51">
        <v>0</v>
      </c>
      <c r="O10" s="51">
        <v>1</v>
      </c>
      <c r="P10" s="51">
        <v>0</v>
      </c>
      <c r="Q10" s="51">
        <v>179</v>
      </c>
      <c r="R10" s="51">
        <v>0</v>
      </c>
      <c r="S10" s="51">
        <v>0</v>
      </c>
      <c r="T10" s="52"/>
      <c r="U10" s="34"/>
      <c r="V10" s="34"/>
      <c r="W10" s="34"/>
    </row>
    <row r="11" spans="1:23" s="26" customFormat="1" ht="15.5" thickTop="1" thickBot="1" x14ac:dyDescent="0.4">
      <c r="A11" s="34"/>
      <c r="B11" s="34"/>
      <c r="C11" s="40"/>
      <c r="D11" s="40"/>
      <c r="E11" s="40"/>
      <c r="F11" s="40"/>
      <c r="G11" s="34"/>
      <c r="H11" s="34"/>
      <c r="I11" s="34"/>
      <c r="J11" s="34"/>
      <c r="K11" s="18">
        <v>6</v>
      </c>
      <c r="L11" s="50">
        <v>0</v>
      </c>
      <c r="M11" s="51">
        <v>0</v>
      </c>
      <c r="N11" s="51">
        <v>0</v>
      </c>
      <c r="O11" s="51">
        <v>0</v>
      </c>
      <c r="P11" s="51">
        <v>0</v>
      </c>
      <c r="Q11" s="51">
        <v>727</v>
      </c>
      <c r="R11" s="51">
        <v>0</v>
      </c>
      <c r="S11" s="51">
        <v>0</v>
      </c>
      <c r="T11" s="52"/>
      <c r="U11" s="34"/>
      <c r="V11" s="34"/>
      <c r="W11" s="34"/>
    </row>
    <row r="12" spans="1:23" ht="15.5" thickTop="1" thickBot="1" x14ac:dyDescent="0.4">
      <c r="A12" s="34"/>
      <c r="B12" s="14" t="s">
        <v>22</v>
      </c>
      <c r="C12" s="27" t="s">
        <v>15</v>
      </c>
      <c r="D12" s="28" t="s">
        <v>16</v>
      </c>
      <c r="E12" s="28" t="s">
        <v>17</v>
      </c>
      <c r="F12" s="28" t="s">
        <v>18</v>
      </c>
      <c r="G12" s="28" t="s">
        <v>19</v>
      </c>
      <c r="H12" s="29" t="s">
        <v>20</v>
      </c>
      <c r="I12" s="34"/>
      <c r="J12" s="34"/>
      <c r="K12" s="18">
        <v>7</v>
      </c>
      <c r="L12" s="50">
        <v>0</v>
      </c>
      <c r="M12" s="51">
        <v>0</v>
      </c>
      <c r="N12" s="51">
        <v>0</v>
      </c>
      <c r="O12" s="51">
        <v>0</v>
      </c>
      <c r="P12" s="51">
        <v>0</v>
      </c>
      <c r="Q12" s="51">
        <v>660</v>
      </c>
      <c r="R12" s="51">
        <v>0</v>
      </c>
      <c r="S12" s="51">
        <v>0</v>
      </c>
      <c r="T12" s="52"/>
      <c r="U12" s="34"/>
      <c r="V12" s="34"/>
      <c r="W12" s="34"/>
    </row>
    <row r="13" spans="1:23" ht="15" thickTop="1" x14ac:dyDescent="0.35">
      <c r="A13" s="34"/>
      <c r="B13" s="12">
        <v>20</v>
      </c>
      <c r="C13" s="47">
        <v>50</v>
      </c>
      <c r="D13" s="48">
        <v>0</v>
      </c>
      <c r="E13" s="48">
        <v>0</v>
      </c>
      <c r="F13" s="48">
        <v>0</v>
      </c>
      <c r="G13" s="48">
        <v>8</v>
      </c>
      <c r="H13" s="49">
        <v>22</v>
      </c>
      <c r="I13" s="34"/>
      <c r="J13" s="34"/>
      <c r="K13" s="18">
        <v>8</v>
      </c>
      <c r="L13" s="50"/>
      <c r="M13" s="51"/>
      <c r="N13" s="51"/>
      <c r="O13" s="51"/>
      <c r="P13" s="51"/>
      <c r="Q13" s="51"/>
      <c r="R13" s="51"/>
      <c r="S13" s="51"/>
      <c r="T13" s="52"/>
      <c r="U13" s="34"/>
      <c r="V13" s="34"/>
      <c r="W13" s="34"/>
    </row>
    <row r="14" spans="1:23" ht="15" thickBot="1" x14ac:dyDescent="0.4">
      <c r="A14" s="34"/>
      <c r="B14" s="30">
        <v>21</v>
      </c>
      <c r="C14" s="50">
        <v>49.5</v>
      </c>
      <c r="D14" s="51">
        <v>0.5</v>
      </c>
      <c r="E14" s="51">
        <v>0</v>
      </c>
      <c r="F14" s="51">
        <v>0.5</v>
      </c>
      <c r="G14" s="51">
        <v>0</v>
      </c>
      <c r="H14" s="52">
        <v>30</v>
      </c>
      <c r="I14" s="34"/>
      <c r="J14" s="34"/>
      <c r="K14" s="31">
        <v>9</v>
      </c>
      <c r="L14" s="53"/>
      <c r="M14" s="54"/>
      <c r="N14" s="54"/>
      <c r="O14" s="54"/>
      <c r="P14" s="54"/>
      <c r="Q14" s="54"/>
      <c r="R14" s="54"/>
      <c r="S14" s="54"/>
      <c r="T14" s="55"/>
      <c r="U14" s="34"/>
      <c r="V14" s="34"/>
      <c r="W14" s="34"/>
    </row>
    <row r="15" spans="1:23" ht="17" thickTop="1" thickBot="1" x14ac:dyDescent="0.4">
      <c r="A15" s="34"/>
      <c r="B15" s="30">
        <v>22</v>
      </c>
      <c r="C15" s="50">
        <v>52</v>
      </c>
      <c r="D15" s="51">
        <v>2</v>
      </c>
      <c r="E15" s="51">
        <v>0</v>
      </c>
      <c r="F15" s="51">
        <v>0</v>
      </c>
      <c r="G15" s="51">
        <v>8</v>
      </c>
      <c r="H15" s="52">
        <v>20</v>
      </c>
      <c r="I15" s="34"/>
      <c r="J15" s="34"/>
      <c r="K15" s="32" t="s">
        <v>23</v>
      </c>
      <c r="L15" s="21">
        <f t="shared" ref="L15:T15" si="0">SUM(L3:L14)</f>
        <v>0</v>
      </c>
      <c r="M15" s="21">
        <f t="shared" si="0"/>
        <v>0</v>
      </c>
      <c r="N15" s="21">
        <f t="shared" si="0"/>
        <v>0</v>
      </c>
      <c r="O15" s="21">
        <f t="shared" si="0"/>
        <v>6</v>
      </c>
      <c r="P15" s="21">
        <f t="shared" si="0"/>
        <v>0</v>
      </c>
      <c r="Q15" s="21">
        <f t="shared" si="0"/>
        <v>3514</v>
      </c>
      <c r="R15" s="21">
        <f t="shared" si="0"/>
        <v>0</v>
      </c>
      <c r="S15" s="21">
        <f t="shared" si="0"/>
        <v>0</v>
      </c>
      <c r="T15" s="21">
        <f t="shared" si="0"/>
        <v>20</v>
      </c>
      <c r="U15" s="34"/>
      <c r="V15" s="34"/>
      <c r="W15" s="34"/>
    </row>
    <row r="16" spans="1:23" ht="17" thickTop="1" thickBot="1" x14ac:dyDescent="0.4">
      <c r="A16" s="34"/>
      <c r="B16" s="30">
        <v>23</v>
      </c>
      <c r="C16" s="50">
        <v>38</v>
      </c>
      <c r="D16" s="51">
        <v>0</v>
      </c>
      <c r="E16" s="51">
        <v>8</v>
      </c>
      <c r="F16" s="51">
        <v>0</v>
      </c>
      <c r="G16" s="51">
        <v>8</v>
      </c>
      <c r="H16" s="52">
        <v>24</v>
      </c>
      <c r="I16" s="34"/>
      <c r="J16" s="34"/>
      <c r="K16" s="32" t="s">
        <v>24</v>
      </c>
      <c r="L16" s="59">
        <f>SUM((L15/Q15)*100)</f>
        <v>0</v>
      </c>
      <c r="M16" s="59">
        <f>SUM((1-((M15)/Q15))*100)</f>
        <v>100</v>
      </c>
      <c r="N16" s="59">
        <f>SUM((1-(N15/Q15))*100)</f>
        <v>100</v>
      </c>
      <c r="O16" s="59">
        <f>SUM(O15/Q15)*100</f>
        <v>0.17074558907228229</v>
      </c>
      <c r="P16" s="59">
        <f>SUM((1-(P15/Q15))*100)</f>
        <v>100</v>
      </c>
      <c r="Q16" s="59">
        <f>Q15/F47</f>
        <v>3.1466308484441461</v>
      </c>
      <c r="R16" s="59"/>
      <c r="S16" s="59">
        <f>SUM((1-(S15/T15))*100)</f>
        <v>100</v>
      </c>
      <c r="T16" s="59"/>
      <c r="U16" s="34"/>
      <c r="V16" s="34"/>
      <c r="W16" s="34"/>
    </row>
    <row r="17" spans="1:23" ht="17" thickTop="1" thickBot="1" x14ac:dyDescent="0.4">
      <c r="A17" s="34"/>
      <c r="B17" s="30">
        <v>24</v>
      </c>
      <c r="C17" s="50">
        <v>63</v>
      </c>
      <c r="D17" s="51">
        <v>0</v>
      </c>
      <c r="E17" s="51">
        <v>0</v>
      </c>
      <c r="F17" s="51">
        <v>3</v>
      </c>
      <c r="G17" s="51">
        <v>0</v>
      </c>
      <c r="H17" s="52">
        <v>14</v>
      </c>
      <c r="I17" s="34"/>
      <c r="J17" s="34"/>
      <c r="K17" s="32" t="s">
        <v>27</v>
      </c>
      <c r="L17" s="21" t="s">
        <v>28</v>
      </c>
      <c r="M17" s="21" t="s">
        <v>32</v>
      </c>
      <c r="N17" s="21" t="s">
        <v>33</v>
      </c>
      <c r="O17" s="21" t="s">
        <v>35</v>
      </c>
      <c r="P17" s="21" t="s">
        <v>34</v>
      </c>
      <c r="Q17" s="21" t="s">
        <v>37</v>
      </c>
      <c r="R17" s="21" t="s">
        <v>36</v>
      </c>
      <c r="S17" s="21" t="s">
        <v>61</v>
      </c>
      <c r="T17" s="21"/>
      <c r="U17" s="34"/>
      <c r="V17" s="34"/>
      <c r="W17" s="34"/>
    </row>
    <row r="18" spans="1:23" ht="15.5" thickTop="1" thickBot="1" x14ac:dyDescent="0.4">
      <c r="A18" s="34"/>
      <c r="B18" s="30">
        <v>25</v>
      </c>
      <c r="C18" s="50">
        <v>44.5</v>
      </c>
      <c r="D18" s="51">
        <v>0</v>
      </c>
      <c r="E18" s="51">
        <v>0</v>
      </c>
      <c r="F18" s="51">
        <v>6.5</v>
      </c>
      <c r="G18" s="51">
        <v>20</v>
      </c>
      <c r="H18" s="52">
        <v>9</v>
      </c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</row>
    <row r="19" spans="1:23" ht="15.75" customHeight="1" thickTop="1" x14ac:dyDescent="0.35">
      <c r="A19" s="34"/>
      <c r="B19" s="30">
        <v>26</v>
      </c>
      <c r="C19" s="50">
        <v>60</v>
      </c>
      <c r="D19" s="51">
        <v>0</v>
      </c>
      <c r="E19" s="51">
        <v>1</v>
      </c>
      <c r="F19" s="51">
        <v>11</v>
      </c>
      <c r="G19" s="51">
        <v>8</v>
      </c>
      <c r="H19" s="52">
        <v>2</v>
      </c>
      <c r="I19" s="34"/>
      <c r="J19" s="143" t="s">
        <v>21</v>
      </c>
      <c r="K19" s="146" t="s">
        <v>188</v>
      </c>
      <c r="L19" s="146" t="s">
        <v>202</v>
      </c>
      <c r="M19" s="146" t="s">
        <v>201</v>
      </c>
      <c r="N19" s="146" t="s">
        <v>192</v>
      </c>
      <c r="O19" s="146" t="s">
        <v>193</v>
      </c>
      <c r="P19" s="146" t="s">
        <v>196</v>
      </c>
      <c r="Q19" s="146" t="s">
        <v>197</v>
      </c>
      <c r="R19" s="146" t="s">
        <v>203</v>
      </c>
      <c r="S19" s="146" t="s">
        <v>199</v>
      </c>
      <c r="T19" s="146" t="s">
        <v>204</v>
      </c>
      <c r="U19" s="149" t="s">
        <v>200</v>
      </c>
      <c r="V19" s="34"/>
      <c r="W19" s="34"/>
    </row>
    <row r="20" spans="1:23" x14ac:dyDescent="0.35">
      <c r="A20" s="34"/>
      <c r="B20" s="30">
        <v>1</v>
      </c>
      <c r="C20" s="50">
        <v>34</v>
      </c>
      <c r="D20" s="51">
        <v>0</v>
      </c>
      <c r="E20" s="51">
        <v>0</v>
      </c>
      <c r="F20" s="51">
        <v>22</v>
      </c>
      <c r="G20" s="51">
        <v>8</v>
      </c>
      <c r="H20" s="52">
        <v>16</v>
      </c>
      <c r="I20" s="34"/>
      <c r="J20" s="144"/>
      <c r="K20" s="147"/>
      <c r="L20" s="147"/>
      <c r="M20" s="147"/>
      <c r="N20" s="147"/>
      <c r="O20" s="147"/>
      <c r="P20" s="147"/>
      <c r="Q20" s="147"/>
      <c r="R20" s="147"/>
      <c r="S20" s="147"/>
      <c r="T20" s="147"/>
      <c r="U20" s="150"/>
      <c r="V20" s="34"/>
      <c r="W20" s="34"/>
    </row>
    <row r="21" spans="1:23" ht="22" customHeight="1" thickBot="1" x14ac:dyDescent="0.4">
      <c r="A21" s="34"/>
      <c r="B21" s="30">
        <v>2</v>
      </c>
      <c r="C21" s="50">
        <v>80</v>
      </c>
      <c r="D21" s="51">
        <v>0</v>
      </c>
      <c r="E21" s="51">
        <v>0</v>
      </c>
      <c r="F21" s="51">
        <v>0</v>
      </c>
      <c r="G21" s="51">
        <v>0</v>
      </c>
      <c r="H21" s="52">
        <v>0</v>
      </c>
      <c r="I21" s="34"/>
      <c r="J21" s="145"/>
      <c r="K21" s="148"/>
      <c r="L21" s="148"/>
      <c r="M21" s="148"/>
      <c r="N21" s="148"/>
      <c r="O21" s="148"/>
      <c r="P21" s="148"/>
      <c r="Q21" s="148"/>
      <c r="R21" s="148"/>
      <c r="S21" s="148"/>
      <c r="T21" s="148"/>
      <c r="U21" s="151"/>
      <c r="V21" s="34"/>
      <c r="W21" s="34"/>
    </row>
    <row r="22" spans="1:23" ht="15" thickTop="1" x14ac:dyDescent="0.35">
      <c r="A22" s="34"/>
      <c r="B22" s="30">
        <v>3</v>
      </c>
      <c r="C22" s="50">
        <v>69.5</v>
      </c>
      <c r="D22" s="51">
        <v>0</v>
      </c>
      <c r="E22" s="51">
        <v>0.5</v>
      </c>
      <c r="F22" s="51">
        <v>2</v>
      </c>
      <c r="G22" s="51">
        <v>8</v>
      </c>
      <c r="H22" s="52">
        <v>0</v>
      </c>
      <c r="I22" s="34"/>
      <c r="J22" s="10">
        <v>10</v>
      </c>
      <c r="K22" s="56">
        <v>0</v>
      </c>
      <c r="L22" s="48">
        <v>0</v>
      </c>
      <c r="M22" s="48">
        <v>0</v>
      </c>
      <c r="N22" s="48">
        <v>1</v>
      </c>
      <c r="O22" s="48">
        <v>0</v>
      </c>
      <c r="P22" s="48">
        <v>1</v>
      </c>
      <c r="Q22" s="48">
        <v>0</v>
      </c>
      <c r="R22" s="48">
        <v>0</v>
      </c>
      <c r="S22" s="48">
        <v>0</v>
      </c>
      <c r="T22" s="48">
        <v>0</v>
      </c>
      <c r="U22" s="49">
        <v>1</v>
      </c>
      <c r="V22" s="34"/>
      <c r="W22" s="34"/>
    </row>
    <row r="23" spans="1:23" x14ac:dyDescent="0.35">
      <c r="A23" s="34"/>
      <c r="B23" s="30">
        <v>4</v>
      </c>
      <c r="C23" s="50">
        <v>73</v>
      </c>
      <c r="D23" s="51">
        <v>0</v>
      </c>
      <c r="E23" s="51">
        <v>0</v>
      </c>
      <c r="F23" s="51">
        <v>7</v>
      </c>
      <c r="G23" s="51">
        <v>0</v>
      </c>
      <c r="H23" s="52">
        <v>0</v>
      </c>
      <c r="I23" s="34"/>
      <c r="J23" s="15">
        <v>11</v>
      </c>
      <c r="K23" s="57">
        <v>0</v>
      </c>
      <c r="L23" s="51">
        <v>0</v>
      </c>
      <c r="M23" s="51">
        <v>0</v>
      </c>
      <c r="N23" s="51">
        <v>1</v>
      </c>
      <c r="O23" s="51">
        <v>0</v>
      </c>
      <c r="P23" s="51">
        <v>1</v>
      </c>
      <c r="Q23" s="51">
        <v>0</v>
      </c>
      <c r="R23" s="51">
        <v>0</v>
      </c>
      <c r="S23" s="51">
        <v>0</v>
      </c>
      <c r="T23" s="51">
        <v>0</v>
      </c>
      <c r="U23" s="52">
        <v>1</v>
      </c>
      <c r="V23" s="34"/>
      <c r="W23" s="34"/>
    </row>
    <row r="24" spans="1:23" x14ac:dyDescent="0.35">
      <c r="A24" s="34"/>
      <c r="B24" s="30">
        <v>5</v>
      </c>
      <c r="C24" s="50">
        <v>80</v>
      </c>
      <c r="D24" s="51">
        <v>0</v>
      </c>
      <c r="E24" s="51">
        <v>0</v>
      </c>
      <c r="F24" s="51">
        <v>0</v>
      </c>
      <c r="G24" s="51">
        <v>0</v>
      </c>
      <c r="H24" s="52">
        <v>0</v>
      </c>
      <c r="I24" s="34"/>
      <c r="J24" s="15">
        <v>12</v>
      </c>
      <c r="K24" s="57">
        <v>0</v>
      </c>
      <c r="L24" s="51">
        <v>2</v>
      </c>
      <c r="M24" s="51">
        <v>0</v>
      </c>
      <c r="N24" s="51">
        <v>1</v>
      </c>
      <c r="O24" s="51">
        <v>0</v>
      </c>
      <c r="P24" s="51">
        <v>1</v>
      </c>
      <c r="Q24" s="51">
        <v>0</v>
      </c>
      <c r="R24" s="51">
        <v>0</v>
      </c>
      <c r="S24" s="51">
        <v>0</v>
      </c>
      <c r="T24" s="51">
        <v>0</v>
      </c>
      <c r="U24" s="52">
        <v>1</v>
      </c>
      <c r="V24" s="34"/>
      <c r="W24" s="34"/>
    </row>
    <row r="25" spans="1:23" x14ac:dyDescent="0.35">
      <c r="A25" s="34"/>
      <c r="B25" s="30">
        <v>6</v>
      </c>
      <c r="C25" s="50">
        <v>59.75</v>
      </c>
      <c r="D25" s="51">
        <v>0.25</v>
      </c>
      <c r="E25" s="51">
        <v>0.25</v>
      </c>
      <c r="F25" s="51">
        <v>8</v>
      </c>
      <c r="G25" s="51">
        <v>0</v>
      </c>
      <c r="H25" s="52">
        <v>12</v>
      </c>
      <c r="I25" s="34"/>
      <c r="J25" s="15">
        <v>1</v>
      </c>
      <c r="K25" s="57">
        <v>0</v>
      </c>
      <c r="L25" s="51">
        <v>0</v>
      </c>
      <c r="M25" s="51">
        <v>0</v>
      </c>
      <c r="N25" s="51">
        <v>1</v>
      </c>
      <c r="O25" s="51">
        <v>1</v>
      </c>
      <c r="P25" s="51">
        <v>1</v>
      </c>
      <c r="Q25" s="51">
        <v>0</v>
      </c>
      <c r="R25" s="51">
        <v>0</v>
      </c>
      <c r="S25" s="51">
        <v>0</v>
      </c>
      <c r="T25" s="51">
        <v>0</v>
      </c>
      <c r="U25" s="52">
        <v>0</v>
      </c>
      <c r="V25" s="34"/>
      <c r="W25" s="34"/>
    </row>
    <row r="26" spans="1:23" x14ac:dyDescent="0.35">
      <c r="A26" s="34"/>
      <c r="B26" s="30">
        <v>7</v>
      </c>
      <c r="C26" s="50">
        <v>55</v>
      </c>
      <c r="D26" s="51">
        <v>0</v>
      </c>
      <c r="E26" s="51">
        <v>1</v>
      </c>
      <c r="F26" s="51">
        <v>0</v>
      </c>
      <c r="G26" s="51">
        <v>0</v>
      </c>
      <c r="H26" s="52">
        <v>24</v>
      </c>
      <c r="I26" s="34"/>
      <c r="J26" s="15">
        <v>2</v>
      </c>
      <c r="K26" s="57">
        <v>0</v>
      </c>
      <c r="L26" s="51">
        <v>0</v>
      </c>
      <c r="M26" s="51">
        <v>0</v>
      </c>
      <c r="N26" s="51">
        <v>1</v>
      </c>
      <c r="O26" s="51">
        <v>0</v>
      </c>
      <c r="P26" s="51">
        <v>1</v>
      </c>
      <c r="Q26" s="51">
        <v>0</v>
      </c>
      <c r="R26" s="51">
        <v>0</v>
      </c>
      <c r="S26" s="51">
        <v>0</v>
      </c>
      <c r="T26" s="51">
        <v>0</v>
      </c>
      <c r="U26" s="52">
        <v>0</v>
      </c>
      <c r="V26" s="34"/>
      <c r="W26" s="34"/>
    </row>
    <row r="27" spans="1:23" x14ac:dyDescent="0.35">
      <c r="A27" s="34"/>
      <c r="B27" s="30">
        <v>8</v>
      </c>
      <c r="C27" s="50">
        <v>50.5</v>
      </c>
      <c r="D27" s="51">
        <v>0</v>
      </c>
      <c r="E27" s="51">
        <v>8</v>
      </c>
      <c r="F27" s="51">
        <v>1.5</v>
      </c>
      <c r="G27" s="51">
        <v>0</v>
      </c>
      <c r="H27" s="52">
        <v>20</v>
      </c>
      <c r="I27" s="34"/>
      <c r="J27" s="15">
        <v>3</v>
      </c>
      <c r="K27" s="57">
        <v>0</v>
      </c>
      <c r="L27" s="51">
        <v>0</v>
      </c>
      <c r="M27" s="51">
        <v>0</v>
      </c>
      <c r="N27" s="51">
        <v>1</v>
      </c>
      <c r="O27" s="51">
        <v>0</v>
      </c>
      <c r="P27" s="51">
        <v>1</v>
      </c>
      <c r="Q27" s="51">
        <v>0</v>
      </c>
      <c r="R27" s="51">
        <v>0</v>
      </c>
      <c r="S27" s="51">
        <v>0</v>
      </c>
      <c r="T27" s="51">
        <v>0</v>
      </c>
      <c r="U27" s="52">
        <v>1</v>
      </c>
      <c r="V27" s="34"/>
      <c r="W27" s="34"/>
    </row>
    <row r="28" spans="1:23" x14ac:dyDescent="0.35">
      <c r="A28" s="34"/>
      <c r="B28" s="30">
        <v>9</v>
      </c>
      <c r="C28" s="50">
        <v>56</v>
      </c>
      <c r="D28" s="51">
        <v>0</v>
      </c>
      <c r="E28" s="51">
        <v>8</v>
      </c>
      <c r="F28" s="51">
        <v>0</v>
      </c>
      <c r="G28" s="51">
        <v>0</v>
      </c>
      <c r="H28" s="52">
        <v>16</v>
      </c>
      <c r="I28" s="34"/>
      <c r="J28" s="15">
        <v>4</v>
      </c>
      <c r="K28" s="57">
        <v>0</v>
      </c>
      <c r="L28" s="51">
        <v>0</v>
      </c>
      <c r="M28" s="51">
        <v>0</v>
      </c>
      <c r="N28" s="51">
        <v>1</v>
      </c>
      <c r="O28" s="51">
        <v>0</v>
      </c>
      <c r="P28" s="51">
        <v>1</v>
      </c>
      <c r="Q28" s="51">
        <v>0</v>
      </c>
      <c r="R28" s="51">
        <v>0</v>
      </c>
      <c r="S28" s="51">
        <v>0</v>
      </c>
      <c r="T28" s="51">
        <v>0</v>
      </c>
      <c r="U28" s="52">
        <v>0</v>
      </c>
      <c r="V28" s="34"/>
      <c r="W28" s="34"/>
    </row>
    <row r="29" spans="1:23" x14ac:dyDescent="0.35">
      <c r="A29" s="34"/>
      <c r="B29" s="30">
        <v>10</v>
      </c>
      <c r="C29" s="50">
        <v>20</v>
      </c>
      <c r="D29" s="51">
        <v>0.5</v>
      </c>
      <c r="E29" s="51">
        <v>40</v>
      </c>
      <c r="F29" s="51">
        <v>0</v>
      </c>
      <c r="G29" s="51">
        <v>8</v>
      </c>
      <c r="H29" s="132">
        <v>12</v>
      </c>
      <c r="I29" s="34"/>
      <c r="J29" s="15">
        <v>5</v>
      </c>
      <c r="K29" s="57">
        <v>0</v>
      </c>
      <c r="L29" s="51"/>
      <c r="M29" s="51">
        <v>0</v>
      </c>
      <c r="N29" s="51">
        <v>1</v>
      </c>
      <c r="O29" s="51">
        <v>0</v>
      </c>
      <c r="P29" s="51">
        <v>1</v>
      </c>
      <c r="Q29" s="51">
        <v>1</v>
      </c>
      <c r="R29" s="51">
        <v>0</v>
      </c>
      <c r="S29" s="51">
        <v>0</v>
      </c>
      <c r="T29" s="51"/>
      <c r="U29" s="52">
        <v>1</v>
      </c>
      <c r="V29" s="34"/>
      <c r="W29" s="34"/>
    </row>
    <row r="30" spans="1:23" x14ac:dyDescent="0.35">
      <c r="A30" s="34"/>
      <c r="B30" s="30">
        <v>11</v>
      </c>
      <c r="C30" s="50">
        <v>56</v>
      </c>
      <c r="D30" s="51">
        <v>0</v>
      </c>
      <c r="E30" s="51">
        <v>8</v>
      </c>
      <c r="F30" s="51">
        <v>0</v>
      </c>
      <c r="G30" s="51">
        <v>0</v>
      </c>
      <c r="H30" s="52">
        <v>16</v>
      </c>
      <c r="I30" s="34"/>
      <c r="J30" s="15">
        <v>6</v>
      </c>
      <c r="K30" s="57">
        <v>0</v>
      </c>
      <c r="L30" s="51"/>
      <c r="M30" s="51">
        <v>0</v>
      </c>
      <c r="N30" s="51">
        <v>1</v>
      </c>
      <c r="O30" s="51">
        <v>0</v>
      </c>
      <c r="P30" s="51">
        <v>1</v>
      </c>
      <c r="Q30" s="51">
        <v>0</v>
      </c>
      <c r="R30" s="51">
        <v>0</v>
      </c>
      <c r="S30" s="51">
        <v>0</v>
      </c>
      <c r="T30" s="51"/>
      <c r="U30" s="52">
        <v>1</v>
      </c>
      <c r="V30" s="34"/>
      <c r="W30" s="34"/>
    </row>
    <row r="31" spans="1:23" x14ac:dyDescent="0.35">
      <c r="A31" s="34"/>
      <c r="B31" s="30">
        <v>12</v>
      </c>
      <c r="C31" s="50">
        <v>22</v>
      </c>
      <c r="D31" s="51">
        <v>0</v>
      </c>
      <c r="E31" s="51">
        <v>32</v>
      </c>
      <c r="F31" s="51">
        <v>2</v>
      </c>
      <c r="G31" s="51">
        <v>8</v>
      </c>
      <c r="H31" s="52">
        <v>16</v>
      </c>
      <c r="I31" s="34"/>
      <c r="J31" s="15">
        <v>7</v>
      </c>
      <c r="K31" s="57">
        <v>0</v>
      </c>
      <c r="L31" s="51"/>
      <c r="M31" s="51">
        <v>0</v>
      </c>
      <c r="N31" s="51">
        <v>1</v>
      </c>
      <c r="O31" s="51">
        <v>0</v>
      </c>
      <c r="P31" s="51">
        <v>1</v>
      </c>
      <c r="Q31" s="51">
        <v>0</v>
      </c>
      <c r="R31" s="51">
        <v>0</v>
      </c>
      <c r="S31" s="51">
        <v>0</v>
      </c>
      <c r="T31" s="51"/>
      <c r="U31" s="52">
        <v>1</v>
      </c>
      <c r="V31" s="34"/>
      <c r="W31" s="34"/>
    </row>
    <row r="32" spans="1:23" x14ac:dyDescent="0.35">
      <c r="A32" s="34"/>
      <c r="B32" s="30">
        <v>13</v>
      </c>
      <c r="C32" s="50">
        <v>40.5</v>
      </c>
      <c r="D32" s="51">
        <v>0</v>
      </c>
      <c r="E32" s="51">
        <v>8</v>
      </c>
      <c r="F32" s="51">
        <v>3.5</v>
      </c>
      <c r="G32" s="51">
        <v>0</v>
      </c>
      <c r="H32" s="52">
        <v>28</v>
      </c>
      <c r="I32" s="34"/>
      <c r="J32" s="15">
        <v>8</v>
      </c>
      <c r="K32" s="57"/>
      <c r="L32" s="51"/>
      <c r="M32" s="51"/>
      <c r="N32" s="51"/>
      <c r="O32" s="51"/>
      <c r="P32" s="51"/>
      <c r="Q32" s="51"/>
      <c r="R32" s="51"/>
      <c r="S32" s="51"/>
      <c r="T32" s="51"/>
      <c r="U32" s="52"/>
      <c r="V32" s="34"/>
      <c r="W32" s="34"/>
    </row>
    <row r="33" spans="1:23" ht="15" thickBot="1" x14ac:dyDescent="0.4">
      <c r="A33" s="34"/>
      <c r="B33" s="30">
        <v>14</v>
      </c>
      <c r="C33" s="50">
        <v>4.25</v>
      </c>
      <c r="D33" s="51">
        <v>0</v>
      </c>
      <c r="E33" s="51">
        <v>0</v>
      </c>
      <c r="F33" s="51">
        <v>1.5</v>
      </c>
      <c r="G33" s="51">
        <v>0</v>
      </c>
      <c r="H33" s="52">
        <v>36</v>
      </c>
      <c r="I33" s="34"/>
      <c r="J33" s="44">
        <v>9</v>
      </c>
      <c r="K33" s="58"/>
      <c r="L33" s="54"/>
      <c r="M33" s="54"/>
      <c r="N33" s="54"/>
      <c r="O33" s="54"/>
      <c r="P33" s="54"/>
      <c r="Q33" s="54"/>
      <c r="R33" s="54"/>
      <c r="S33" s="54"/>
      <c r="T33" s="54"/>
      <c r="U33" s="55"/>
      <c r="V33" s="34"/>
      <c r="W33" s="34"/>
    </row>
    <row r="34" spans="1:23" ht="17" thickTop="1" thickBot="1" x14ac:dyDescent="0.4">
      <c r="A34" s="34"/>
      <c r="B34" s="30">
        <v>15</v>
      </c>
      <c r="C34" s="50">
        <v>56</v>
      </c>
      <c r="D34" s="51">
        <v>0</v>
      </c>
      <c r="E34" s="51">
        <v>0</v>
      </c>
      <c r="F34" s="51">
        <v>8</v>
      </c>
      <c r="G34" s="51">
        <v>0</v>
      </c>
      <c r="H34" s="52">
        <v>16</v>
      </c>
      <c r="I34" s="34"/>
      <c r="J34" s="32" t="s">
        <v>23</v>
      </c>
      <c r="K34" s="33">
        <f t="shared" ref="K34:U34" si="1">SUM(K22:K33)</f>
        <v>0</v>
      </c>
      <c r="L34" s="33">
        <f t="shared" si="1"/>
        <v>2</v>
      </c>
      <c r="M34" s="33">
        <f t="shared" si="1"/>
        <v>0</v>
      </c>
      <c r="N34" s="33">
        <f t="shared" si="1"/>
        <v>10</v>
      </c>
      <c r="O34" s="33">
        <f t="shared" si="1"/>
        <v>1</v>
      </c>
      <c r="P34" s="33">
        <f t="shared" si="1"/>
        <v>10</v>
      </c>
      <c r="Q34" s="33">
        <f t="shared" si="1"/>
        <v>1</v>
      </c>
      <c r="R34" s="33">
        <f t="shared" si="1"/>
        <v>0</v>
      </c>
      <c r="S34" s="33">
        <f t="shared" si="1"/>
        <v>0</v>
      </c>
      <c r="T34" s="33">
        <f t="shared" si="1"/>
        <v>0</v>
      </c>
      <c r="U34" s="21">
        <f t="shared" si="1"/>
        <v>7</v>
      </c>
      <c r="V34" s="34"/>
      <c r="W34" s="34"/>
    </row>
    <row r="35" spans="1:23" ht="15.5" thickTop="1" thickBot="1" x14ac:dyDescent="0.4">
      <c r="A35" s="34"/>
      <c r="B35" s="30">
        <v>16</v>
      </c>
      <c r="C35" s="50"/>
      <c r="D35" s="51"/>
      <c r="E35" s="51"/>
      <c r="F35" s="51"/>
      <c r="G35" s="51"/>
      <c r="H35" s="52"/>
      <c r="I35" s="34"/>
      <c r="J35" s="14" t="s">
        <v>27</v>
      </c>
      <c r="K35" s="21" t="s">
        <v>29</v>
      </c>
      <c r="L35" s="21" t="s">
        <v>30</v>
      </c>
      <c r="M35" s="21" t="s">
        <v>58</v>
      </c>
      <c r="N35" s="21" t="s">
        <v>59</v>
      </c>
      <c r="O35" s="21" t="s">
        <v>60</v>
      </c>
      <c r="P35" s="21" t="s">
        <v>38</v>
      </c>
      <c r="Q35" s="21" t="s">
        <v>39</v>
      </c>
      <c r="R35" s="21" t="s">
        <v>62</v>
      </c>
      <c r="S35" s="21" t="s">
        <v>63</v>
      </c>
      <c r="T35" s="21" t="s">
        <v>64</v>
      </c>
      <c r="U35" s="21" t="s">
        <v>65</v>
      </c>
      <c r="V35" s="34"/>
      <c r="W35" s="34"/>
    </row>
    <row r="36" spans="1:23" ht="15" thickTop="1" x14ac:dyDescent="0.35">
      <c r="A36" s="34"/>
      <c r="B36" s="30">
        <v>17</v>
      </c>
      <c r="C36" s="50"/>
      <c r="D36" s="51"/>
      <c r="E36" s="51"/>
      <c r="F36" s="51"/>
      <c r="G36" s="51"/>
      <c r="H36" s="52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</row>
    <row r="37" spans="1:23" x14ac:dyDescent="0.35">
      <c r="A37" s="34"/>
      <c r="B37" s="30">
        <v>18</v>
      </c>
      <c r="C37" s="50"/>
      <c r="D37" s="51"/>
      <c r="E37" s="51"/>
      <c r="F37" s="51"/>
      <c r="G37" s="51"/>
      <c r="H37" s="52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</row>
    <row r="38" spans="1:23" x14ac:dyDescent="0.35">
      <c r="A38" s="34"/>
      <c r="B38" s="30">
        <v>19</v>
      </c>
      <c r="C38" s="50"/>
      <c r="D38" s="51"/>
      <c r="E38" s="51"/>
      <c r="F38" s="51"/>
      <c r="G38" s="51"/>
      <c r="H38" s="52"/>
      <c r="I38" s="34"/>
      <c r="J38" s="152" t="s">
        <v>57</v>
      </c>
      <c r="K38" s="152"/>
      <c r="L38" s="152"/>
      <c r="M38" s="152"/>
      <c r="N38" s="152"/>
      <c r="O38" s="152"/>
      <c r="P38" s="34"/>
      <c r="Q38" s="34"/>
      <c r="R38" s="34"/>
      <c r="S38" s="34"/>
      <c r="T38" s="34"/>
      <c r="U38" s="34"/>
      <c r="V38" s="34"/>
      <c r="W38" s="34"/>
    </row>
    <row r="39" spans="1:23" x14ac:dyDescent="0.35">
      <c r="A39" s="34"/>
      <c r="B39" s="30">
        <v>20</v>
      </c>
      <c r="C39" s="50"/>
      <c r="D39" s="51"/>
      <c r="E39" s="51"/>
      <c r="F39" s="51"/>
      <c r="G39" s="51"/>
      <c r="H39" s="52"/>
      <c r="I39" s="34"/>
      <c r="J39" s="152"/>
      <c r="K39" s="152"/>
      <c r="L39" s="152"/>
      <c r="M39" s="152"/>
      <c r="N39" s="152"/>
      <c r="O39" s="152"/>
      <c r="P39" s="34"/>
      <c r="Q39" s="34"/>
      <c r="R39" s="34"/>
      <c r="S39" s="34"/>
      <c r="T39" s="34"/>
      <c r="U39" s="34"/>
      <c r="V39" s="34"/>
      <c r="W39" s="34"/>
    </row>
    <row r="40" spans="1:23" ht="15" thickBot="1" x14ac:dyDescent="0.4">
      <c r="A40" s="34"/>
      <c r="B40" s="30">
        <v>21</v>
      </c>
      <c r="C40" s="50"/>
      <c r="D40" s="51"/>
      <c r="E40" s="51"/>
      <c r="F40" s="51"/>
      <c r="G40" s="51"/>
      <c r="H40" s="52"/>
      <c r="I40" s="34"/>
      <c r="J40" s="35"/>
      <c r="K40" s="35"/>
      <c r="L40" s="35"/>
      <c r="M40" s="35"/>
      <c r="N40" s="35"/>
      <c r="O40" s="35"/>
      <c r="P40" s="34"/>
      <c r="Q40" s="34"/>
      <c r="R40" s="34"/>
      <c r="S40" s="34"/>
      <c r="T40" s="34"/>
      <c r="U40" s="34"/>
      <c r="V40" s="34"/>
      <c r="W40" s="34"/>
    </row>
    <row r="41" spans="1:23" ht="15.5" thickTop="1" thickBot="1" x14ac:dyDescent="0.4">
      <c r="A41" s="34"/>
      <c r="B41" s="30">
        <v>22</v>
      </c>
      <c r="C41" s="50"/>
      <c r="D41" s="51"/>
      <c r="E41" s="51"/>
      <c r="F41" s="51"/>
      <c r="G41" s="51"/>
      <c r="H41" s="52"/>
      <c r="I41" s="34"/>
      <c r="J41" s="34"/>
      <c r="K41" s="36" t="s">
        <v>0</v>
      </c>
      <c r="L41" s="36" t="s">
        <v>1</v>
      </c>
      <c r="M41" s="36" t="s">
        <v>2</v>
      </c>
      <c r="N41" s="36" t="s">
        <v>3</v>
      </c>
      <c r="O41" s="34"/>
      <c r="P41" s="34"/>
      <c r="Q41" s="34"/>
      <c r="R41" s="34"/>
      <c r="S41" s="34"/>
      <c r="T41" s="34"/>
      <c r="U41" s="34"/>
      <c r="V41" s="34"/>
      <c r="W41" s="34"/>
    </row>
    <row r="42" spans="1:23" ht="15.5" thickTop="1" thickBot="1" x14ac:dyDescent="0.4">
      <c r="A42" s="34"/>
      <c r="B42" s="30">
        <v>23</v>
      </c>
      <c r="C42" s="50"/>
      <c r="D42" s="51"/>
      <c r="E42" s="51"/>
      <c r="F42" s="51"/>
      <c r="G42" s="51"/>
      <c r="H42" s="52"/>
      <c r="I42" s="34"/>
      <c r="J42" s="34"/>
      <c r="K42" s="21" t="str">
        <f>IF(OR('2'!C3&gt;SetUp!C7,'2'!C4&lt;SetUp!C8),"Unacceptable",IF(AND(AND('2'!C3&lt;=SetUp!D7,'2'!C4&gt;=SetUp!D8),OR('2'!C5&gt;=SetUp!C12,'2'!C6&gt;=SetUp!C13,'2'!C7&gt;=SetUp!C14)), "Exceptional", "Fully Successful"))</f>
        <v>Exceptional</v>
      </c>
      <c r="L42" s="21" t="str">
        <f>IF(OR('2'!D3&lt;SetUp!E7,'2'!D4&gt;SetUp!E8,'2'!D5&lt;SetUp!E9),"Unacceptable", IF(AND(AND('2'!D3&gt;=SetUp!F7,'2'!D4&lt;=SetUp!F8,'2'!D5&gt;=SetUp!F9),OR('2'!D6&gt;=SetUp!E13,'2'!D7&gt;=SetUp!E14)), "Exceptional", "Fully Successful"))</f>
        <v>Exceptional</v>
      </c>
      <c r="M42" s="21" t="str">
        <f>IF(OR('2'!E3&lt;SetUp!G7,'2'!E4&gt;SetUp!G8),"Unacceptable",IF(AND(AND('2'!E3&gt;=SetUp!H7, '2'!E4&lt;=SetUp!H8),OR('2'!E5&gt;=SetUp!G12, '2'!E6&gt;=SetUp!G13)), "Exceptional", "Fully Successful"))</f>
        <v>Exceptional</v>
      </c>
      <c r="N42" s="21" t="str">
        <f>IF(OR(F3&lt;SetUp!I7,'2'!F4&gt;SetUp!I11),"Unacceptable",IF(AND(AND(F3&gt;=SetUp!J7,'2'!F4&lt;=SetUp!I11),OR('2'!F5&gt;=SetUp!I12,'2'!F6&gt;=SetUp!I13,'2'!F7&gt;=SetUp!I14)),"Exceptional","Fully Successful"))</f>
        <v>Exceptional</v>
      </c>
      <c r="O42" s="34"/>
      <c r="P42" s="34"/>
      <c r="Q42" s="34"/>
      <c r="R42" s="34"/>
      <c r="S42" s="34"/>
      <c r="T42" s="34"/>
      <c r="U42" s="34"/>
      <c r="V42" s="34"/>
      <c r="W42" s="34"/>
    </row>
    <row r="43" spans="1:23" ht="15.5" thickTop="1" thickBot="1" x14ac:dyDescent="0.4">
      <c r="A43" s="34"/>
      <c r="B43" s="30">
        <v>24</v>
      </c>
      <c r="C43" s="50"/>
      <c r="D43" s="51"/>
      <c r="E43" s="51"/>
      <c r="F43" s="51"/>
      <c r="G43" s="51"/>
      <c r="H43" s="52"/>
      <c r="I43" s="34"/>
      <c r="J43" s="34"/>
      <c r="K43" s="21">
        <f>IF(K42="Exceptional", 10, IF(K42="Fully Successful", 1, 0))</f>
        <v>10</v>
      </c>
      <c r="L43" s="21">
        <f>IF(L42="Exceptional", 10, IF(L42="Fully Successful", 1, 0))</f>
        <v>10</v>
      </c>
      <c r="M43" s="21">
        <f>IF(M42="Exceptional", 10, IF(M42="Fully Successful", 1, 0))</f>
        <v>10</v>
      </c>
      <c r="N43" s="21">
        <f>IF(N42="Exceptional", 10, IF(N42="Fully Successful", 1, 0))</f>
        <v>10</v>
      </c>
      <c r="O43" s="34"/>
      <c r="P43" s="34"/>
      <c r="Q43" s="34"/>
      <c r="R43" s="34"/>
      <c r="S43" s="34"/>
      <c r="T43" s="34"/>
      <c r="U43" s="34"/>
      <c r="V43" s="34"/>
      <c r="W43" s="34"/>
    </row>
    <row r="44" spans="1:23" ht="15.75" customHeight="1" thickTop="1" thickBot="1" x14ac:dyDescent="0.4">
      <c r="A44" s="34"/>
      <c r="B44" s="30">
        <v>25</v>
      </c>
      <c r="C44" s="50"/>
      <c r="D44" s="51"/>
      <c r="E44" s="51"/>
      <c r="F44" s="51"/>
      <c r="G44" s="51"/>
      <c r="H44" s="52"/>
      <c r="I44" s="34"/>
      <c r="J44" s="34"/>
      <c r="K44" s="34"/>
      <c r="L44" s="21">
        <f>SUM(K43:M43)</f>
        <v>30</v>
      </c>
      <c r="M44" s="21">
        <f>N43</f>
        <v>10</v>
      </c>
      <c r="N44" s="21" t="str">
        <f>IF(L44+M44=40,"OutStanding",IF(AND(L44&gt;=30,M44&gt;=1),"Excellent",IF(AND(K43&gt;=1,L43&gt;=1,M43&gt;=1,N43&gt;=1),"Fully Successful",IF(AND(K43&gt;=1,L43&gt;=1,M43&gt;=1,N43&lt;1),"Minimally Successful","Unacceptable"))))</f>
        <v>OutStanding</v>
      </c>
      <c r="O44" s="34"/>
      <c r="P44" s="34"/>
      <c r="Q44" s="34"/>
      <c r="R44" s="34"/>
      <c r="S44" s="34"/>
      <c r="T44" s="34"/>
      <c r="U44" s="34"/>
      <c r="V44" s="34"/>
      <c r="W44" s="34"/>
    </row>
    <row r="45" spans="1:23" ht="15.5" thickTop="1" thickBot="1" x14ac:dyDescent="0.4">
      <c r="A45" s="34"/>
      <c r="B45" s="37">
        <v>26</v>
      </c>
      <c r="C45" s="53"/>
      <c r="D45" s="54"/>
      <c r="E45" s="54"/>
      <c r="F45" s="54"/>
      <c r="G45" s="54"/>
      <c r="H45" s="55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</row>
    <row r="46" spans="1:23" ht="15.5" thickTop="1" thickBot="1" x14ac:dyDescent="0.4">
      <c r="A46" s="34"/>
      <c r="B46" s="14" t="s">
        <v>23</v>
      </c>
      <c r="C46" s="21">
        <f t="shared" ref="C46:H46" si="2">SUM(C13:C45)</f>
        <v>1113.5</v>
      </c>
      <c r="D46" s="21">
        <f t="shared" si="2"/>
        <v>3.25</v>
      </c>
      <c r="E46" s="21">
        <f t="shared" si="2"/>
        <v>114.75</v>
      </c>
      <c r="F46" s="21">
        <f t="shared" si="2"/>
        <v>76.5</v>
      </c>
      <c r="G46" s="21">
        <f t="shared" si="2"/>
        <v>84</v>
      </c>
      <c r="H46" s="21">
        <f t="shared" si="2"/>
        <v>333</v>
      </c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</row>
    <row r="47" spans="1:23" ht="15.5" thickTop="1" thickBot="1" x14ac:dyDescent="0.4">
      <c r="A47" s="34"/>
      <c r="B47" s="14" t="s">
        <v>26</v>
      </c>
      <c r="C47" s="21">
        <f>C46+D46+E46+F46+G46+H46</f>
        <v>1725</v>
      </c>
      <c r="D47" s="153" t="s">
        <v>66</v>
      </c>
      <c r="E47" s="154"/>
      <c r="F47" s="155">
        <f>C46+D46</f>
        <v>1116.75</v>
      </c>
      <c r="G47" s="156"/>
      <c r="H47" s="157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</row>
    <row r="48" spans="1:23" ht="15" thickTop="1" x14ac:dyDescent="0.35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</row>
    <row r="49" spans="1:23" x14ac:dyDescent="0.35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</row>
    <row r="50" spans="1:23" x14ac:dyDescent="0.35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</row>
    <row r="51" spans="1:23" x14ac:dyDescent="0.35">
      <c r="A51" s="34"/>
      <c r="B51" s="34"/>
      <c r="C51" s="34"/>
      <c r="D51" s="34"/>
      <c r="E51" s="34"/>
      <c r="F51" s="34"/>
      <c r="G51" s="34"/>
      <c r="H51" s="34"/>
      <c r="I51" s="34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4"/>
      <c r="W51" s="34"/>
    </row>
    <row r="52" spans="1:23" x14ac:dyDescent="0.35">
      <c r="A52" s="34"/>
      <c r="B52" s="34"/>
      <c r="C52" s="34"/>
      <c r="D52" s="34"/>
      <c r="E52" s="34"/>
      <c r="F52" s="34"/>
      <c r="G52" s="34"/>
      <c r="H52" s="34"/>
      <c r="I52" s="34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4"/>
      <c r="W52" s="34"/>
    </row>
    <row r="53" spans="1:23" x14ac:dyDescent="0.35">
      <c r="A53" s="34"/>
      <c r="B53" s="34"/>
      <c r="C53" s="34"/>
      <c r="D53" s="34"/>
      <c r="E53" s="34"/>
      <c r="F53" s="34"/>
      <c r="G53" s="34"/>
      <c r="H53" s="34"/>
      <c r="I53" s="34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4"/>
      <c r="W53" s="34"/>
    </row>
    <row r="54" spans="1:23" x14ac:dyDescent="0.35"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</row>
    <row r="55" spans="1:23" x14ac:dyDescent="0.35"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</row>
    <row r="56" spans="1:23" x14ac:dyDescent="0.35"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</row>
    <row r="57" spans="1:23" x14ac:dyDescent="0.35"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</row>
    <row r="58" spans="1:23" x14ac:dyDescent="0.35"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</row>
    <row r="59" spans="1:23" x14ac:dyDescent="0.35"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</row>
    <row r="60" spans="1:23" x14ac:dyDescent="0.35"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</row>
  </sheetData>
  <sheetProtection selectLockedCells="1"/>
  <mergeCells count="18">
    <mergeCell ref="U19:U21"/>
    <mergeCell ref="J38:O39"/>
    <mergeCell ref="D47:E47"/>
    <mergeCell ref="F47:H47"/>
    <mergeCell ref="M19:M21"/>
    <mergeCell ref="N19:N21"/>
    <mergeCell ref="O19:O21"/>
    <mergeCell ref="P19:P21"/>
    <mergeCell ref="Q19:Q21"/>
    <mergeCell ref="S19:S21"/>
    <mergeCell ref="T19:T21"/>
    <mergeCell ref="R19:R21"/>
    <mergeCell ref="L19:L21"/>
    <mergeCell ref="H2:I2"/>
    <mergeCell ref="B9:B10"/>
    <mergeCell ref="C9:F10"/>
    <mergeCell ref="J19:J21"/>
    <mergeCell ref="K19:K21"/>
  </mergeCells>
  <conditionalFormatting sqref="C8:F8">
    <cfRule type="containsText" dxfId="444" priority="5" operator="containsText" text="Fully Successful">
      <formula>NOT(ISERROR(SEARCH("Fully Successful",C8)))</formula>
    </cfRule>
    <cfRule type="containsText" dxfId="443" priority="6" operator="containsText" text="Exceptional">
      <formula>NOT(ISERROR(SEARCH("Exceptional",C8)))</formula>
    </cfRule>
  </conditionalFormatting>
  <conditionalFormatting sqref="C8:F10">
    <cfRule type="containsText" dxfId="442" priority="4" operator="containsText" text="Unacceptable">
      <formula>NOT(ISERROR(SEARCH("Unacceptable",C8)))</formula>
    </cfRule>
  </conditionalFormatting>
  <conditionalFormatting sqref="C9:F10">
    <cfRule type="containsText" dxfId="441" priority="59" operator="containsText" text="Outstanding">
      <formula>NOT(ISERROR(SEARCH("Outstanding",C9)))</formula>
    </cfRule>
    <cfRule type="containsText" dxfId="440" priority="58" operator="containsText" text="Excellent">
      <formula>NOT(ISERROR(SEARCH("Excellent",C9)))</formula>
    </cfRule>
    <cfRule type="containsText" dxfId="439" priority="56" operator="containsText" text="Minimally Successful">
      <formula>NOT(ISERROR(SEARCH("Minimally Successful",C9)))</formula>
    </cfRule>
    <cfRule type="containsText" dxfId="438" priority="57" operator="containsText" text="Fully Successful">
      <formula>NOT(ISERROR(SEARCH("Fully Successful",C9)))</formula>
    </cfRule>
  </conditionalFormatting>
  <conditionalFormatting sqref="E7">
    <cfRule type="cellIs" dxfId="417" priority="24" operator="notEqual">
      <formula>1</formula>
    </cfRule>
  </conditionalFormatting>
  <conditionalFormatting sqref="H3">
    <cfRule type="cellIs" dxfId="405" priority="68" operator="notEqual">
      <formula>1</formula>
    </cfRule>
  </conditionalFormatting>
  <conditionalFormatting sqref="H4">
    <cfRule type="cellIs" dxfId="404" priority="61" operator="notEqual">
      <formula>1</formula>
    </cfRule>
  </conditionalFormatting>
  <conditionalFormatting sqref="H5">
    <cfRule type="cellIs" dxfId="403" priority="67" operator="notEqual">
      <formula>1</formula>
    </cfRule>
  </conditionalFormatting>
  <conditionalFormatting sqref="H6">
    <cfRule type="cellIs" dxfId="402" priority="66" operator="notEqual">
      <formula>1</formula>
    </cfRule>
  </conditionalFormatting>
  <conditionalFormatting sqref="H7">
    <cfRule type="cellIs" dxfId="401" priority="65" operator="notEqual">
      <formula>1</formula>
    </cfRule>
  </conditionalFormatting>
  <conditionalFormatting sqref="H8">
    <cfRule type="cellIs" dxfId="400" priority="64" operator="notEqual">
      <formula>1</formula>
    </cfRule>
  </conditionalFormatting>
  <conditionalFormatting sqref="H9">
    <cfRule type="cellIs" dxfId="399" priority="62" operator="notEqual">
      <formula>1</formula>
    </cfRule>
  </conditionalFormatting>
  <conditionalFormatting sqref="J19">
    <cfRule type="beginsWith" dxfId="398" priority="45" operator="beginsWith" text="Fulfilled">
      <formula>LEFT(J19,LEN("Fulfilled"))="Fulfilled"</formula>
    </cfRule>
    <cfRule type="containsText" dxfId="397" priority="46" operator="containsText" text="Not Fulfilled">
      <formula>NOT(ISERROR(SEARCH("Not Fulfilled",J19)))</formula>
    </cfRule>
    <cfRule type="containsText" dxfId="396" priority="47" operator="containsText" text="Exceptional">
      <formula>NOT(ISERROR(SEARCH("Exceptional",J19)))</formula>
    </cfRule>
    <cfRule type="beginsWith" dxfId="395" priority="48" operator="beginsWith" text="Fully Successful">
      <formula>LEFT(J19,LEN("Fully Successful"))="Fully Successful"</formula>
    </cfRule>
    <cfRule type="beginsWith" dxfId="394" priority="49" operator="beginsWith" text="Not Fully Successful">
      <formula>LEFT(J19,LEN("Not Fully Successful"))="Not Fully Successful"</formula>
    </cfRule>
  </conditionalFormatting>
  <conditionalFormatting sqref="L2 Q2 S2">
    <cfRule type="beginsWith" dxfId="393" priority="50" operator="beginsWith" text="Fulfilled">
      <formula>LEFT(L2,LEN("Fulfilled"))="Fulfilled"</formula>
    </cfRule>
    <cfRule type="containsText" dxfId="392" priority="51" operator="containsText" text="Not Fulfilled">
      <formula>NOT(ISERROR(SEARCH("Not Fulfilled",L2)))</formula>
    </cfRule>
    <cfRule type="containsText" dxfId="391" priority="52" operator="containsText" text="Exceptional">
      <formula>NOT(ISERROR(SEARCH("Exceptional",L2)))</formula>
    </cfRule>
    <cfRule type="beginsWith" dxfId="390" priority="53" operator="beginsWith" text="Fully Successful">
      <formula>LEFT(L2,LEN("Fully Successful"))="Fully Successful"</formula>
    </cfRule>
    <cfRule type="beginsWith" dxfId="389" priority="54" operator="beginsWith" text="Not Fully Successful">
      <formula>LEFT(L2,LEN("Not Fully Successful"))="Not Fully Successful"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44" operator="greaterThan" id="{6315F602-2BAD-4CF8-8101-2EF645922767}">
            <xm:f>SetUp!C7</xm:f>
            <x14:dxf>
              <font>
                <color auto="1"/>
              </font>
              <fill>
                <patternFill>
                  <bgColor rgb="FFFF0000"/>
                </patternFill>
              </fill>
            </x14:dxf>
          </x14:cfRule>
          <x14:cfRule type="cellIs" priority="43" operator="lessThanOrEqual" id="{61822081-8DD5-4876-B4C4-08EFDFB111CB}">
            <xm:f>SetUp!C7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14:cfRule type="cellIs" priority="42" operator="lessThanOrEqual" id="{7BECF43F-D634-4AFF-9385-681566949840}">
            <xm:f>SetUp!D7</xm:f>
            <x14:dxf>
              <font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m:sqref>C3</xm:sqref>
        </x14:conditionalFormatting>
        <x14:conditionalFormatting xmlns:xm="http://schemas.microsoft.com/office/excel/2006/main">
          <x14:cfRule type="cellIs" priority="39" stopIfTrue="1" operator="greaterThanOrEqual" id="{ABE286F2-4B72-4EF1-A91E-98177A87C0E7}">
            <xm:f>SetUp!D8</xm:f>
            <x14:dxf>
              <font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ellIs" priority="40" operator="greaterThanOrEqual" id="{FC786C40-A0B0-4F48-BC65-65E0D5D1DA0D}">
            <xm:f>SetUp!C8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14:cfRule type="cellIs" priority="41" operator="lessThan" id="{E42D2278-647B-4B67-B932-502DF9EAC175}">
            <xm:f>SetUp!C8</xm:f>
            <x14:dxf>
              <font>
                <color auto="1"/>
              </font>
              <fill>
                <patternFill>
                  <bgColor rgb="FFFF0000"/>
                </patternFill>
              </fill>
            </x14:dxf>
          </x14:cfRule>
          <xm:sqref>C4</xm:sqref>
        </x14:conditionalFormatting>
        <x14:conditionalFormatting xmlns:xm="http://schemas.microsoft.com/office/excel/2006/main">
          <x14:cfRule type="cellIs" priority="38" operator="lessThan" id="{644FE45C-8502-4DB0-BE06-771E13F91046}">
            <xm:f>SetUp!C12</xm:f>
            <x14:dxf>
              <font>
                <color theme="1"/>
              </font>
              <fill>
                <patternFill>
                  <bgColor theme="7" tint="0.79998168889431442"/>
                </patternFill>
              </fill>
            </x14:dxf>
          </x14:cfRule>
          <xm:sqref>C5</xm:sqref>
        </x14:conditionalFormatting>
        <x14:conditionalFormatting xmlns:xm="http://schemas.microsoft.com/office/excel/2006/main">
          <x14:cfRule type="cellIs" priority="3" operator="greaterThanOrEqual" id="{D5C33552-133E-441C-932B-B40E7D9E9958}">
            <xm:f>SetUp!C12</xm:f>
            <x14:dxf>
              <font>
                <color theme="0"/>
              </font>
              <fill>
                <patternFill>
                  <bgColor theme="7" tint="-0.24994659260841701"/>
                </patternFill>
              </fill>
            </x14:dxf>
          </x14:cfRule>
          <xm:sqref>C5:C7</xm:sqref>
        </x14:conditionalFormatting>
        <x14:conditionalFormatting xmlns:xm="http://schemas.microsoft.com/office/excel/2006/main">
          <x14:cfRule type="cellIs" priority="15" operator="lessThan" id="{C1888E23-E5A5-4A66-998E-4833798F13E0}">
            <xm:f>SetUp!C13</xm:f>
            <x14:dxf>
              <fill>
                <patternFill>
                  <bgColor theme="7" tint="0.79998168889431442"/>
                </patternFill>
              </fill>
            </x14:dxf>
          </x14:cfRule>
          <xm:sqref>C6:C7</xm:sqref>
        </x14:conditionalFormatting>
        <x14:conditionalFormatting xmlns:xm="http://schemas.microsoft.com/office/excel/2006/main">
          <x14:cfRule type="cellIs" priority="36" operator="greaterThanOrEqual" id="{F0B9EE4D-B966-42F2-AFBD-25DE535B2AC7}">
            <xm:f>SetUp!E7</xm:f>
            <x14:dxf>
              <fill>
                <patternFill>
                  <bgColor theme="9" tint="0.79998168889431442"/>
                </patternFill>
              </fill>
            </x14:dxf>
          </x14:cfRule>
          <x14:cfRule type="cellIs" priority="37" operator="lessThan" id="{2A57F546-B9E3-4670-9CAF-7A248AF3F58E}">
            <xm:f>SetUp!E7</xm:f>
            <x14:dxf>
              <fill>
                <patternFill>
                  <bgColor rgb="FFFF0000"/>
                </patternFill>
              </fill>
            </x14:dxf>
          </x14:cfRule>
          <x14:cfRule type="cellIs" priority="35" stopIfTrue="1" operator="greaterThanOrEqual" id="{2116D264-DF92-428D-A346-D3CE0B5D8E29}">
            <xm:f>SetUp!F7</xm:f>
            <x14:dxf>
              <font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m:sqref>D3 D5</xm:sqref>
        </x14:conditionalFormatting>
        <x14:conditionalFormatting xmlns:xm="http://schemas.microsoft.com/office/excel/2006/main">
          <x14:cfRule type="cellIs" priority="32" operator="greaterThan" id="{878F9E65-BBE0-43BE-AC6D-ECE6A8062346}">
            <xm:f>SetUp!E8</xm:f>
            <x14:dxf>
              <fill>
                <patternFill>
                  <bgColor rgb="FFFF0000"/>
                </patternFill>
              </fill>
            </x14:dxf>
          </x14:cfRule>
          <x14:cfRule type="cellIs" priority="33" stopIfTrue="1" operator="lessThanOrEqual" id="{373ED9D1-17A8-4152-904E-99E5408BE61B}">
            <xm:f>SetUp!F8</xm:f>
            <x14:dxf>
              <font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ellIs" priority="34" operator="lessThanOrEqual" id="{3439D57C-C64D-45EA-B50F-49E599423C7A}">
            <xm:f>SetUp!E8</xm:f>
            <x14:dxf>
              <fill>
                <patternFill>
                  <bgColor theme="9" tint="0.79998168889431442"/>
                </patternFill>
              </fill>
            </x14:dxf>
          </x14:cfRule>
          <xm:sqref>D4</xm:sqref>
        </x14:conditionalFormatting>
        <x14:conditionalFormatting xmlns:xm="http://schemas.microsoft.com/office/excel/2006/main">
          <x14:cfRule type="cellIs" priority="17" operator="lessThan" id="{B8F65033-BE6B-40C8-BA78-3ABB149F7C58}">
            <xm:f>SetUp!E13</xm:f>
            <x14:dxf>
              <fill>
                <patternFill>
                  <bgColor theme="7" tint="0.79998168889431442"/>
                </patternFill>
              </fill>
            </x14:dxf>
          </x14:cfRule>
          <x14:cfRule type="cellIs" priority="18" operator="greaterThanOrEqual" id="{3563E504-306D-4F36-8F10-4A7AFA38D01F}">
            <xm:f>SetUp!E13</xm:f>
            <x14:dxf>
              <font>
                <color theme="0"/>
              </font>
              <fill>
                <patternFill>
                  <bgColor theme="7" tint="-0.24994659260841701"/>
                </patternFill>
              </fill>
            </x14:dxf>
          </x14:cfRule>
          <xm:sqref>D6</xm:sqref>
        </x14:conditionalFormatting>
        <x14:conditionalFormatting xmlns:xm="http://schemas.microsoft.com/office/excel/2006/main">
          <x14:cfRule type="cellIs" priority="13" operator="greaterThanOrEqual" id="{2D74ACC2-46C8-4DE0-A34C-1749FE81B34F}">
            <xm:f>SetUp!$E$14</xm:f>
            <x14:dxf>
              <font>
                <color theme="0"/>
              </font>
              <fill>
                <patternFill>
                  <bgColor theme="7" tint="-0.24994659260841701"/>
                </patternFill>
              </fill>
            </x14:dxf>
          </x14:cfRule>
          <x14:cfRule type="cellIs" priority="14" operator="lessThan" id="{DFC1E8D9-BC71-4317-90B6-7D406CBB12FF}">
            <xm:f>SetUp!$E$14</xm:f>
            <x14:dxf>
              <fill>
                <patternFill>
                  <bgColor theme="7" tint="0.79998168889431442"/>
                </patternFill>
              </fill>
            </x14:dxf>
          </x14:cfRule>
          <xm:sqref>D7</xm:sqref>
        </x14:conditionalFormatting>
        <x14:conditionalFormatting xmlns:xm="http://schemas.microsoft.com/office/excel/2006/main">
          <x14:cfRule type="cellIs" priority="29" operator="lessThan" id="{5C1A6631-C958-4B10-9299-928AEE38BA91}">
            <xm:f>SetUp!G7</xm:f>
            <x14:dxf>
              <fill>
                <patternFill>
                  <bgColor rgb="FFFF0000"/>
                </patternFill>
              </fill>
            </x14:dxf>
          </x14:cfRule>
          <x14:cfRule type="cellIs" priority="30" stopIfTrue="1" operator="greaterThanOrEqual" id="{3CAB78FE-CB48-43D6-8BF5-4EA14F912507}">
            <xm:f>SetUp!H7</xm:f>
            <x14:dxf>
              <font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ellIs" priority="31" operator="greaterThanOrEqual" id="{9103CDF7-DE3E-4EC8-A07E-381F140218E2}">
            <xm:f>SetUp!G7</xm:f>
            <x14:dxf>
              <fill>
                <patternFill>
                  <bgColor theme="9" tint="0.79998168889431442"/>
                </patternFill>
              </fill>
            </x14:dxf>
          </x14:cfRule>
          <xm:sqref>E3</xm:sqref>
        </x14:conditionalFormatting>
        <x14:conditionalFormatting xmlns:xm="http://schemas.microsoft.com/office/excel/2006/main">
          <x14:cfRule type="cellIs" priority="26" operator="greaterThan" id="{7071DE9B-5F57-4EA5-B5AA-E7653D882C7F}">
            <xm:f>SetUp!G8</xm:f>
            <x14:dxf>
              <fill>
                <patternFill>
                  <bgColor rgb="FFFF0000"/>
                </patternFill>
              </fill>
            </x14:dxf>
          </x14:cfRule>
          <x14:cfRule type="cellIs" priority="27" operator="lessThanOrEqual" id="{DED6F00E-E720-45E2-8AC0-1AA2CA257240}">
            <xm:f>SetUp!H8</xm:f>
            <x14:dxf>
              <font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ellIs" priority="28" operator="lessThanOrEqual" id="{AFF16A86-3B87-4EFB-9D85-2020F34F7F7C}">
            <xm:f>SetUp!G8</xm:f>
            <x14:dxf>
              <fill>
                <patternFill>
                  <bgColor theme="9" tint="0.79998168889431442"/>
                </patternFill>
              </fill>
            </x14:dxf>
          </x14:cfRule>
          <xm:sqref>E4</xm:sqref>
        </x14:conditionalFormatting>
        <x14:conditionalFormatting xmlns:xm="http://schemas.microsoft.com/office/excel/2006/main">
          <x14:cfRule type="cellIs" priority="25" operator="lessThan" id="{2792DDB3-9CD9-403D-9157-DE7EDE6BF82D}">
            <xm:f>SetUp!G12</xm:f>
            <x14:dxf>
              <fill>
                <patternFill>
                  <bgColor theme="7" tint="0.79998168889431442"/>
                </patternFill>
              </fill>
            </x14:dxf>
          </x14:cfRule>
          <x14:cfRule type="cellIs" priority="16" operator="greaterThanOrEqual" id="{A5428059-B394-4D97-89C6-562740B72852}">
            <xm:f>SetUp!G12</xm:f>
            <x14:dxf>
              <font>
                <color theme="0"/>
              </font>
              <fill>
                <patternFill>
                  <bgColor theme="7" tint="-0.24994659260841701"/>
                </patternFill>
              </fill>
            </x14:dxf>
          </x14:cfRule>
          <xm:sqref>E5</xm:sqref>
        </x14:conditionalFormatting>
        <x14:conditionalFormatting xmlns:xm="http://schemas.microsoft.com/office/excel/2006/main">
          <x14:cfRule type="cellIs" priority="1" operator="greaterThanOrEqual" id="{46588B5C-B404-4A0A-8D0B-BB69C7169D6A}">
            <xm:f>SetUp!$G$13</xm:f>
            <x14:dxf>
              <font>
                <color theme="0"/>
              </font>
              <fill>
                <patternFill>
                  <bgColor theme="7" tint="-0.24994659260841701"/>
                </patternFill>
              </fill>
            </x14:dxf>
          </x14:cfRule>
          <x14:cfRule type="cellIs" priority="2" operator="lessThan" id="{5BE2EFD2-D906-48FB-98B9-308DF33ED4EB}">
            <xm:f>SetUp!$G$13</xm:f>
            <x14:dxf>
              <fill>
                <patternFill>
                  <bgColor theme="7" tint="0.79998168889431442"/>
                </patternFill>
              </fill>
            </x14:dxf>
          </x14:cfRule>
          <xm:sqref>E6</xm:sqref>
        </x14:conditionalFormatting>
        <x14:conditionalFormatting xmlns:xm="http://schemas.microsoft.com/office/excel/2006/main">
          <x14:cfRule type="cellIs" priority="21" operator="lessThan" id="{FCD9E2B9-23F8-4262-935C-2939B2007850}">
            <xm:f>SetUp!I7</xm:f>
            <x14:dxf>
              <fill>
                <patternFill>
                  <bgColor rgb="FFFF0000"/>
                </patternFill>
              </fill>
            </x14:dxf>
          </x14:cfRule>
          <x14:cfRule type="cellIs" priority="23" operator="greaterThanOrEqual" id="{60D3B779-1EBF-4ACE-9F97-B4EA3ABBA88B}">
            <xm:f>SetUp!I7</xm:f>
            <x14:dxf>
              <fill>
                <patternFill>
                  <bgColor theme="9" tint="0.79998168889431442"/>
                </patternFill>
              </fill>
            </x14:dxf>
          </x14:cfRule>
          <x14:cfRule type="cellIs" priority="22" operator="equal" id="{48B4D662-3DA8-456C-A4AD-8D06964A4B19}">
            <xm:f>SetUp!J7</xm:f>
            <x14:dxf>
              <font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m:sqref>F3</xm:sqref>
        </x14:conditionalFormatting>
        <x14:conditionalFormatting xmlns:xm="http://schemas.microsoft.com/office/excel/2006/main">
          <x14:cfRule type="cellIs" priority="20" operator="greaterThan" id="{805109BD-3D55-48D7-B6E6-BCEEE6E2CB5B}">
            <xm:f>SetUp!I11</xm:f>
            <x14:dxf>
              <fill>
                <patternFill>
                  <bgColor theme="7" tint="0.79998168889431442"/>
                </patternFill>
              </fill>
            </x14:dxf>
          </x14:cfRule>
          <x14:cfRule type="cellIs" priority="19" operator="lessThanOrEqual" id="{80DF0B35-DDF7-4CD6-8786-D29B3F2A5163}">
            <xm:f>SetUp!I11</xm:f>
            <x14:dxf>
              <font>
                <color theme="0"/>
              </font>
              <fill>
                <patternFill>
                  <bgColor theme="7" tint="-0.24994659260841701"/>
                </patternFill>
              </fill>
            </x14:dxf>
          </x14:cfRule>
          <xm:sqref>F4</xm:sqref>
        </x14:conditionalFormatting>
        <x14:conditionalFormatting xmlns:xm="http://schemas.microsoft.com/office/excel/2006/main">
          <x14:cfRule type="cellIs" priority="12" operator="greaterThanOrEqual" id="{6590858F-C24E-4C28-8ECA-7DEB2FDC23B1}">
            <xm:f>SetUp!$I$12</xm:f>
            <x14:dxf>
              <font>
                <color theme="0"/>
              </font>
              <fill>
                <patternFill>
                  <bgColor theme="7" tint="-0.24994659260841701"/>
                </patternFill>
              </fill>
            </x14:dxf>
          </x14:cfRule>
          <x14:cfRule type="cellIs" priority="11" operator="lessThan" id="{47835521-AB4A-4258-868E-AF0E63B89601}">
            <xm:f>SetUp!$I$12</xm:f>
            <x14:dxf>
              <fill>
                <patternFill>
                  <bgColor theme="7" tint="0.79998168889431442"/>
                </patternFill>
              </fill>
            </x14:dxf>
          </x14:cfRule>
          <xm:sqref>F5</xm:sqref>
        </x14:conditionalFormatting>
        <x14:conditionalFormatting xmlns:xm="http://schemas.microsoft.com/office/excel/2006/main">
          <x14:cfRule type="cellIs" priority="9" operator="lessThan" id="{6B87E08C-8F76-4652-819C-FAAFF44ED763}">
            <xm:f>SetUp!$I$13</xm:f>
            <x14:dxf>
              <fill>
                <patternFill>
                  <bgColor theme="7" tint="0.79998168889431442"/>
                </patternFill>
              </fill>
            </x14:dxf>
          </x14:cfRule>
          <x14:cfRule type="cellIs" priority="10" operator="greaterThanOrEqual" id="{F1DE3CC7-EFFF-4445-A29A-607FEA99B62E}">
            <xm:f>SetUp!$I$13</xm:f>
            <x14:dxf>
              <font>
                <color theme="0"/>
              </font>
              <fill>
                <patternFill>
                  <bgColor theme="7" tint="-0.24994659260841701"/>
                </patternFill>
              </fill>
            </x14:dxf>
          </x14:cfRule>
          <xm:sqref>F6</xm:sqref>
        </x14:conditionalFormatting>
        <x14:conditionalFormatting xmlns:xm="http://schemas.microsoft.com/office/excel/2006/main">
          <x14:cfRule type="cellIs" priority="8" operator="greaterThanOrEqual" id="{BE6CF088-77E3-4E2C-BD64-DDC11CF5C6D1}">
            <xm:f>SetUp!$I$14</xm:f>
            <x14:dxf>
              <font>
                <color theme="0"/>
              </font>
              <fill>
                <patternFill>
                  <bgColor theme="7" tint="-0.24994659260841701"/>
                </patternFill>
              </fill>
            </x14:dxf>
          </x14:cfRule>
          <x14:cfRule type="cellIs" priority="7" operator="lessThan" id="{4DCD0F4C-1D66-4531-AC6C-FF77ED13C161}">
            <xm:f>SetUp!$I$14</xm:f>
            <x14:dxf>
              <fill>
                <patternFill>
                  <bgColor theme="7" tint="0.79998168889431442"/>
                </patternFill>
              </fill>
            </x14:dxf>
          </x14:cfRule>
          <xm:sqref>F7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E0C53-F58C-41A1-95A2-4C0F8B5826B7}">
  <dimension ref="A1:W60"/>
  <sheetViews>
    <sheetView zoomScaleNormal="100" workbookViewId="0">
      <selection activeCell="Q13" sqref="Q13"/>
    </sheetView>
  </sheetViews>
  <sheetFormatPr defaultColWidth="12" defaultRowHeight="14.5" x14ac:dyDescent="0.35"/>
  <cols>
    <col min="1" max="1" width="4.1796875" style="13" customWidth="1"/>
    <col min="2" max="2" width="12.81640625" style="13" customWidth="1"/>
    <col min="3" max="5" width="15.54296875" style="13" bestFit="1" customWidth="1"/>
    <col min="6" max="6" width="14.81640625" style="13" customWidth="1"/>
    <col min="7" max="7" width="7.81640625" style="13" customWidth="1"/>
    <col min="8" max="8" width="6.1796875" style="13" bestFit="1" customWidth="1"/>
    <col min="9" max="9" width="16" style="13" customWidth="1"/>
    <col min="10" max="10" width="8.7265625" style="13" customWidth="1"/>
    <col min="11" max="11" width="14" style="13" customWidth="1"/>
    <col min="12" max="12" width="14.453125" style="13" customWidth="1"/>
    <col min="13" max="13" width="13.7265625" style="13" customWidth="1"/>
    <col min="14" max="14" width="15.54296875" style="13" customWidth="1"/>
    <col min="15" max="15" width="13.7265625" style="13" customWidth="1"/>
    <col min="16" max="16" width="14.453125" style="13" customWidth="1"/>
    <col min="17" max="17" width="12" style="13" customWidth="1"/>
    <col min="18" max="18" width="15.1796875" style="13" customWidth="1"/>
    <col min="19" max="19" width="12.81640625" style="13" customWidth="1"/>
    <col min="20" max="20" width="10.7265625" style="13" bestFit="1" customWidth="1"/>
    <col min="21" max="21" width="14.26953125" style="13" customWidth="1"/>
    <col min="22" max="22" width="4.453125" style="13" customWidth="1"/>
    <col min="23" max="16384" width="12" style="13"/>
  </cols>
  <sheetData>
    <row r="1" spans="1:23" ht="15" thickBot="1" x14ac:dyDescent="0.4">
      <c r="A1" s="34"/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</row>
    <row r="2" spans="1:23" ht="59" thickTop="1" thickBot="1" x14ac:dyDescent="0.4">
      <c r="A2" s="34"/>
      <c r="B2" s="12"/>
      <c r="C2" s="41" t="s">
        <v>43</v>
      </c>
      <c r="D2" s="42" t="s">
        <v>44</v>
      </c>
      <c r="E2" s="42" t="s">
        <v>45</v>
      </c>
      <c r="F2" s="43" t="s">
        <v>3</v>
      </c>
      <c r="G2" s="34"/>
      <c r="H2" s="133" t="s">
        <v>11</v>
      </c>
      <c r="I2" s="134"/>
      <c r="J2" s="34"/>
      <c r="K2" s="14" t="s">
        <v>21</v>
      </c>
      <c r="L2" s="46" t="s">
        <v>186</v>
      </c>
      <c r="M2" s="97" t="s">
        <v>187</v>
      </c>
      <c r="N2" s="97" t="s">
        <v>189</v>
      </c>
      <c r="O2" s="28" t="s">
        <v>190</v>
      </c>
      <c r="P2" s="97" t="s">
        <v>191</v>
      </c>
      <c r="Q2" s="28" t="s">
        <v>194</v>
      </c>
      <c r="R2" s="28" t="s">
        <v>195</v>
      </c>
      <c r="S2" s="28" t="s">
        <v>198</v>
      </c>
      <c r="T2" s="29" t="s">
        <v>25</v>
      </c>
      <c r="U2" s="34"/>
      <c r="V2" s="34"/>
      <c r="W2" s="34"/>
    </row>
    <row r="3" spans="1:23" ht="15" thickTop="1" x14ac:dyDescent="0.35">
      <c r="A3" s="34"/>
      <c r="B3" s="15" t="s">
        <v>4</v>
      </c>
      <c r="C3" s="60">
        <f>L16</f>
        <v>0</v>
      </c>
      <c r="D3" s="61">
        <f>N16</f>
        <v>99.884393063583815</v>
      </c>
      <c r="E3" s="61">
        <f>Q16</f>
        <v>3.1064823128030166</v>
      </c>
      <c r="F3" s="62">
        <f>S16</f>
        <v>100</v>
      </c>
      <c r="G3" s="39"/>
      <c r="H3" s="16"/>
      <c r="I3" s="17" t="s">
        <v>41</v>
      </c>
      <c r="J3" s="34"/>
      <c r="K3" s="45">
        <v>10</v>
      </c>
      <c r="L3" s="47">
        <v>0</v>
      </c>
      <c r="M3" s="48">
        <v>0</v>
      </c>
      <c r="N3" s="48">
        <v>2</v>
      </c>
      <c r="O3" s="48">
        <v>0</v>
      </c>
      <c r="P3" s="48">
        <v>0</v>
      </c>
      <c r="Q3" s="48">
        <v>307</v>
      </c>
      <c r="R3" s="48">
        <v>0</v>
      </c>
      <c r="S3" s="48">
        <v>0</v>
      </c>
      <c r="T3" s="49">
        <v>5</v>
      </c>
      <c r="U3" s="34"/>
      <c r="V3" s="34"/>
      <c r="W3" s="34"/>
    </row>
    <row r="4" spans="1:23" ht="15" thickBot="1" x14ac:dyDescent="0.4">
      <c r="A4" s="34"/>
      <c r="B4" s="15" t="s">
        <v>5</v>
      </c>
      <c r="C4" s="73">
        <f>M16</f>
        <v>100</v>
      </c>
      <c r="D4" s="61">
        <f>O16</f>
        <v>9.2485549132947972E-2</v>
      </c>
      <c r="E4" s="74">
        <f>R15</f>
        <v>0</v>
      </c>
      <c r="F4" s="72">
        <f>R34</f>
        <v>0</v>
      </c>
      <c r="G4" s="34"/>
      <c r="H4" s="16"/>
      <c r="I4" s="17" t="s">
        <v>42</v>
      </c>
      <c r="J4" s="34"/>
      <c r="K4" s="18">
        <v>11</v>
      </c>
      <c r="L4" s="50">
        <v>0</v>
      </c>
      <c r="M4" s="51">
        <v>0</v>
      </c>
      <c r="N4" s="51">
        <v>1</v>
      </c>
      <c r="O4" s="51">
        <v>0</v>
      </c>
      <c r="P4" s="51">
        <v>0</v>
      </c>
      <c r="Q4" s="51">
        <v>200</v>
      </c>
      <c r="R4" s="51">
        <v>0</v>
      </c>
      <c r="S4" s="51">
        <v>0</v>
      </c>
      <c r="T4" s="52">
        <v>3</v>
      </c>
      <c r="U4" s="34"/>
      <c r="V4" s="34"/>
      <c r="W4" s="34"/>
    </row>
    <row r="5" spans="1:23" ht="15.5" thickTop="1" thickBot="1" x14ac:dyDescent="0.4">
      <c r="A5" s="34"/>
      <c r="B5" s="15" t="s">
        <v>6</v>
      </c>
      <c r="C5" s="69">
        <f>K34</f>
        <v>2</v>
      </c>
      <c r="D5" s="74">
        <f>P16</f>
        <v>100</v>
      </c>
      <c r="E5" s="70">
        <f>P34</f>
        <v>4</v>
      </c>
      <c r="F5" s="71">
        <f>S34</f>
        <v>0</v>
      </c>
      <c r="G5" s="34"/>
      <c r="H5" s="16"/>
      <c r="I5" s="17" t="s">
        <v>9</v>
      </c>
      <c r="J5" s="34"/>
      <c r="K5" s="18">
        <v>12</v>
      </c>
      <c r="L5" s="50">
        <v>0</v>
      </c>
      <c r="M5" s="51">
        <v>0</v>
      </c>
      <c r="N5" s="51">
        <v>0</v>
      </c>
      <c r="O5" s="51">
        <v>1</v>
      </c>
      <c r="P5" s="51">
        <v>0</v>
      </c>
      <c r="Q5" s="51">
        <v>525</v>
      </c>
      <c r="R5" s="51">
        <v>0</v>
      </c>
      <c r="S5" s="51">
        <v>0</v>
      </c>
      <c r="T5" s="52">
        <v>4</v>
      </c>
      <c r="U5" s="34"/>
      <c r="V5" s="34"/>
      <c r="W5" s="34"/>
    </row>
    <row r="6" spans="1:23" ht="15" thickTop="1" x14ac:dyDescent="0.35">
      <c r="A6" s="34"/>
      <c r="B6" s="15" t="s">
        <v>7</v>
      </c>
      <c r="C6" s="63">
        <f>L34</f>
        <v>2</v>
      </c>
      <c r="D6" s="70">
        <f>N34</f>
        <v>2</v>
      </c>
      <c r="E6" s="64">
        <f>Q34</f>
        <v>2</v>
      </c>
      <c r="F6" s="65">
        <f>T34</f>
        <v>8</v>
      </c>
      <c r="G6" s="34"/>
      <c r="H6" s="16"/>
      <c r="I6" s="17" t="s">
        <v>10</v>
      </c>
      <c r="J6" s="34"/>
      <c r="K6" s="18">
        <v>1</v>
      </c>
      <c r="L6" s="50">
        <v>0</v>
      </c>
      <c r="M6" s="51">
        <v>0</v>
      </c>
      <c r="N6" s="51">
        <v>0</v>
      </c>
      <c r="O6" s="51">
        <v>1</v>
      </c>
      <c r="P6" s="51">
        <v>0</v>
      </c>
      <c r="Q6" s="51">
        <v>246</v>
      </c>
      <c r="R6" s="51">
        <v>0</v>
      </c>
      <c r="S6" s="51">
        <v>0</v>
      </c>
      <c r="T6" s="52">
        <v>0</v>
      </c>
      <c r="U6" s="34"/>
      <c r="V6" s="34"/>
      <c r="W6" s="34"/>
    </row>
    <row r="7" spans="1:23" ht="15" thickBot="1" x14ac:dyDescent="0.4">
      <c r="A7" s="34"/>
      <c r="B7" s="19" t="s">
        <v>8</v>
      </c>
      <c r="C7" s="66">
        <f>M34</f>
        <v>2</v>
      </c>
      <c r="D7" s="67">
        <f>O34</f>
        <v>7</v>
      </c>
      <c r="E7" s="67"/>
      <c r="F7" s="68">
        <f>U34</f>
        <v>5</v>
      </c>
      <c r="G7" s="34"/>
      <c r="H7" s="16"/>
      <c r="I7" s="17" t="s">
        <v>14</v>
      </c>
      <c r="J7" s="34"/>
      <c r="K7" s="18">
        <v>2</v>
      </c>
      <c r="L7" s="50">
        <v>0</v>
      </c>
      <c r="M7" s="51">
        <v>0</v>
      </c>
      <c r="N7" s="51">
        <v>0</v>
      </c>
      <c r="O7" s="51">
        <v>0</v>
      </c>
      <c r="P7" s="51">
        <v>0</v>
      </c>
      <c r="Q7" s="51">
        <v>277</v>
      </c>
      <c r="R7" s="51">
        <v>0</v>
      </c>
      <c r="S7" s="51">
        <v>0</v>
      </c>
      <c r="T7" s="52">
        <v>4</v>
      </c>
      <c r="U7" s="34"/>
      <c r="V7" s="34"/>
      <c r="W7" s="34"/>
    </row>
    <row r="8" spans="1:23" ht="20.25" customHeight="1" thickTop="1" thickBot="1" x14ac:dyDescent="0.4">
      <c r="A8" s="34"/>
      <c r="B8" s="20" t="s">
        <v>12</v>
      </c>
      <c r="C8" s="21" t="str">
        <f>K42</f>
        <v>Exceptional</v>
      </c>
      <c r="D8" s="21" t="str">
        <f>L42</f>
        <v>Exceptional</v>
      </c>
      <c r="E8" s="21" t="str">
        <f>M42</f>
        <v>Exceptional</v>
      </c>
      <c r="F8" s="21" t="str">
        <f>N42</f>
        <v>Exceptional</v>
      </c>
      <c r="G8" s="34"/>
      <c r="H8" s="22"/>
      <c r="I8" s="23" t="s">
        <v>13</v>
      </c>
      <c r="J8" s="34"/>
      <c r="K8" s="18">
        <v>3</v>
      </c>
      <c r="L8" s="50">
        <v>0</v>
      </c>
      <c r="M8" s="51">
        <v>0</v>
      </c>
      <c r="N8" s="51">
        <v>0</v>
      </c>
      <c r="O8" s="51">
        <v>0</v>
      </c>
      <c r="P8" s="51">
        <v>0</v>
      </c>
      <c r="Q8" s="51">
        <v>240</v>
      </c>
      <c r="R8" s="51">
        <v>0</v>
      </c>
      <c r="S8" s="51">
        <v>0</v>
      </c>
      <c r="T8" s="52">
        <v>2</v>
      </c>
      <c r="U8" s="34"/>
      <c r="V8" s="34"/>
      <c r="W8" s="34"/>
    </row>
    <row r="9" spans="1:23" ht="15" thickTop="1" x14ac:dyDescent="0.35">
      <c r="A9" s="34"/>
      <c r="B9" s="135" t="s">
        <v>31</v>
      </c>
      <c r="C9" s="137" t="str">
        <f>N44</f>
        <v>OutStanding</v>
      </c>
      <c r="D9" s="138"/>
      <c r="E9" s="138"/>
      <c r="F9" s="139"/>
      <c r="G9" s="34"/>
      <c r="H9" s="22"/>
      <c r="I9" s="23" t="s">
        <v>40</v>
      </c>
      <c r="J9" s="34"/>
      <c r="K9" s="18">
        <v>4</v>
      </c>
      <c r="L9" s="50">
        <v>0</v>
      </c>
      <c r="M9" s="51">
        <v>0</v>
      </c>
      <c r="N9" s="51">
        <v>0</v>
      </c>
      <c r="O9" s="51">
        <v>0</v>
      </c>
      <c r="P9" s="51">
        <v>0</v>
      </c>
      <c r="Q9" s="51">
        <v>370</v>
      </c>
      <c r="R9" s="51">
        <v>0</v>
      </c>
      <c r="S9" s="51">
        <v>0</v>
      </c>
      <c r="T9" s="52">
        <v>7</v>
      </c>
      <c r="U9" s="34"/>
      <c r="V9" s="34"/>
      <c r="W9" s="34"/>
    </row>
    <row r="10" spans="1:23" ht="15" thickBot="1" x14ac:dyDescent="0.4">
      <c r="A10" s="34"/>
      <c r="B10" s="136"/>
      <c r="C10" s="140"/>
      <c r="D10" s="141"/>
      <c r="E10" s="141"/>
      <c r="F10" s="142"/>
      <c r="G10" s="34"/>
      <c r="H10" s="24" t="s">
        <v>46</v>
      </c>
      <c r="I10" s="25" t="s">
        <v>47</v>
      </c>
      <c r="J10" s="34"/>
      <c r="K10" s="18">
        <v>5</v>
      </c>
      <c r="L10" s="50">
        <v>0</v>
      </c>
      <c r="M10" s="51">
        <v>0</v>
      </c>
      <c r="N10" s="51">
        <v>0</v>
      </c>
      <c r="O10" s="51">
        <v>1</v>
      </c>
      <c r="P10" s="51">
        <v>0</v>
      </c>
      <c r="Q10" s="51">
        <v>385</v>
      </c>
      <c r="R10" s="51">
        <v>0</v>
      </c>
      <c r="S10" s="51">
        <v>0</v>
      </c>
      <c r="T10" s="52"/>
      <c r="U10" s="34"/>
      <c r="V10" s="34"/>
      <c r="W10" s="34"/>
    </row>
    <row r="11" spans="1:23" s="26" customFormat="1" ht="15.5" thickTop="1" thickBot="1" x14ac:dyDescent="0.4">
      <c r="A11" s="34"/>
      <c r="B11" s="34"/>
      <c r="C11" s="40"/>
      <c r="D11" s="40"/>
      <c r="E11" s="40"/>
      <c r="F11" s="40"/>
      <c r="G11" s="34"/>
      <c r="H11" s="34"/>
      <c r="I11" s="34"/>
      <c r="J11" s="34"/>
      <c r="K11" s="18">
        <v>6</v>
      </c>
      <c r="L11" s="50">
        <v>0</v>
      </c>
      <c r="M11" s="51">
        <v>0</v>
      </c>
      <c r="N11" s="51">
        <v>0</v>
      </c>
      <c r="O11" s="51">
        <v>0</v>
      </c>
      <c r="P11" s="51">
        <v>0</v>
      </c>
      <c r="Q11" s="51">
        <v>1096</v>
      </c>
      <c r="R11" s="51">
        <v>0</v>
      </c>
      <c r="S11" s="51">
        <v>0</v>
      </c>
      <c r="T11" s="52"/>
      <c r="U11" s="34"/>
      <c r="V11" s="34"/>
      <c r="W11" s="34"/>
    </row>
    <row r="12" spans="1:23" ht="15.5" thickTop="1" thickBot="1" x14ac:dyDescent="0.4">
      <c r="A12" s="34"/>
      <c r="B12" s="14" t="s">
        <v>22</v>
      </c>
      <c r="C12" s="27" t="s">
        <v>15</v>
      </c>
      <c r="D12" s="28" t="s">
        <v>16</v>
      </c>
      <c r="E12" s="28" t="s">
        <v>17</v>
      </c>
      <c r="F12" s="28" t="s">
        <v>18</v>
      </c>
      <c r="G12" s="28" t="s">
        <v>19</v>
      </c>
      <c r="H12" s="29" t="s">
        <v>20</v>
      </c>
      <c r="I12" s="34"/>
      <c r="J12" s="34"/>
      <c r="K12" s="18">
        <v>7</v>
      </c>
      <c r="L12" s="50">
        <v>0</v>
      </c>
      <c r="M12" s="51">
        <v>0</v>
      </c>
      <c r="N12" s="51">
        <v>0</v>
      </c>
      <c r="O12" s="51">
        <v>1</v>
      </c>
      <c r="P12" s="51">
        <v>0</v>
      </c>
      <c r="Q12" s="51">
        <v>679</v>
      </c>
      <c r="R12" s="51">
        <v>0</v>
      </c>
      <c r="S12" s="51">
        <v>0</v>
      </c>
      <c r="T12" s="52"/>
      <c r="U12" s="34"/>
      <c r="V12" s="34"/>
      <c r="W12" s="34"/>
    </row>
    <row r="13" spans="1:23" ht="15" thickTop="1" x14ac:dyDescent="0.35">
      <c r="A13" s="34"/>
      <c r="B13" s="12">
        <v>20</v>
      </c>
      <c r="C13" s="47">
        <v>53.5</v>
      </c>
      <c r="D13" s="48">
        <v>8</v>
      </c>
      <c r="E13" s="48">
        <v>4</v>
      </c>
      <c r="F13" s="48">
        <v>2.5</v>
      </c>
      <c r="G13" s="48">
        <v>10</v>
      </c>
      <c r="H13" s="49">
        <v>10</v>
      </c>
      <c r="I13" s="34"/>
      <c r="J13" s="34"/>
      <c r="K13" s="18">
        <v>8</v>
      </c>
      <c r="L13" s="50"/>
      <c r="M13" s="51"/>
      <c r="N13" s="51">
        <v>2</v>
      </c>
      <c r="O13" s="51"/>
      <c r="P13" s="51"/>
      <c r="Q13" s="51"/>
      <c r="R13" s="51"/>
      <c r="S13" s="51"/>
      <c r="T13" s="52"/>
      <c r="U13" s="34"/>
      <c r="V13" s="34"/>
      <c r="W13" s="34"/>
    </row>
    <row r="14" spans="1:23" ht="15" thickBot="1" x14ac:dyDescent="0.4">
      <c r="A14" s="34"/>
      <c r="B14" s="30">
        <v>21</v>
      </c>
      <c r="C14" s="50">
        <v>55</v>
      </c>
      <c r="D14" s="51">
        <v>15</v>
      </c>
      <c r="E14" s="51">
        <v>0</v>
      </c>
      <c r="F14" s="51">
        <v>15</v>
      </c>
      <c r="G14" s="51">
        <v>0</v>
      </c>
      <c r="H14" s="52">
        <v>10</v>
      </c>
      <c r="I14" s="34"/>
      <c r="J14" s="34"/>
      <c r="K14" s="31">
        <v>9</v>
      </c>
      <c r="L14" s="53"/>
      <c r="M14" s="54"/>
      <c r="N14" s="54"/>
      <c r="O14" s="54"/>
      <c r="P14" s="54"/>
      <c r="Q14" s="54"/>
      <c r="R14" s="54"/>
      <c r="S14" s="54"/>
      <c r="T14" s="55"/>
      <c r="U14" s="34"/>
      <c r="V14" s="34"/>
      <c r="W14" s="34"/>
    </row>
    <row r="15" spans="1:23" ht="17" thickTop="1" thickBot="1" x14ac:dyDescent="0.4">
      <c r="A15" s="34"/>
      <c r="B15" s="30">
        <v>22</v>
      </c>
      <c r="C15" s="50">
        <v>35</v>
      </c>
      <c r="D15" s="51">
        <v>8</v>
      </c>
      <c r="E15" s="51">
        <v>0</v>
      </c>
      <c r="F15" s="51">
        <v>25</v>
      </c>
      <c r="G15" s="51">
        <v>10</v>
      </c>
      <c r="H15" s="52">
        <v>10</v>
      </c>
      <c r="I15" s="34"/>
      <c r="J15" s="34"/>
      <c r="K15" s="32" t="s">
        <v>23</v>
      </c>
      <c r="L15" s="21">
        <f t="shared" ref="L15:R15" si="0">SUM(L3:L14)</f>
        <v>0</v>
      </c>
      <c r="M15" s="21">
        <f t="shared" si="0"/>
        <v>0</v>
      </c>
      <c r="N15" s="21">
        <f t="shared" si="0"/>
        <v>5</v>
      </c>
      <c r="O15" s="21">
        <f t="shared" si="0"/>
        <v>4</v>
      </c>
      <c r="P15" s="21">
        <f t="shared" si="0"/>
        <v>0</v>
      </c>
      <c r="Q15" s="21">
        <f t="shared" si="0"/>
        <v>4325</v>
      </c>
      <c r="R15" s="21">
        <f t="shared" si="0"/>
        <v>0</v>
      </c>
      <c r="S15" s="21">
        <f>SUM(S3:S14)</f>
        <v>0</v>
      </c>
      <c r="T15" s="21">
        <f>SUM(T3:T14)</f>
        <v>25</v>
      </c>
      <c r="U15" s="34"/>
      <c r="V15" s="34"/>
      <c r="W15" s="34"/>
    </row>
    <row r="16" spans="1:23" ht="17" thickTop="1" thickBot="1" x14ac:dyDescent="0.4">
      <c r="A16" s="34"/>
      <c r="B16" s="30">
        <v>23</v>
      </c>
      <c r="C16" s="50">
        <v>60</v>
      </c>
      <c r="D16" s="51">
        <v>7.5</v>
      </c>
      <c r="E16" s="51">
        <v>0</v>
      </c>
      <c r="F16" s="51">
        <v>0</v>
      </c>
      <c r="G16" s="51">
        <v>10</v>
      </c>
      <c r="H16" s="52">
        <v>10</v>
      </c>
      <c r="I16" s="34"/>
      <c r="J16" s="34"/>
      <c r="K16" s="32" t="s">
        <v>24</v>
      </c>
      <c r="L16" s="59">
        <f>SUM((L15/Q15)*100)</f>
        <v>0</v>
      </c>
      <c r="M16" s="59">
        <f>SUM((1-((M15)/Q15))*100)</f>
        <v>100</v>
      </c>
      <c r="N16" s="59">
        <f>SUM((1-(N15/Q15))*100)</f>
        <v>99.884393063583815</v>
      </c>
      <c r="O16" s="59">
        <f>SUM(O15/Q15)*100</f>
        <v>9.2485549132947972E-2</v>
      </c>
      <c r="P16" s="59">
        <f>SUM((1-(P15/Q15))*100)</f>
        <v>100</v>
      </c>
      <c r="Q16" s="59">
        <f>Q15/F47</f>
        <v>3.1064823128030166</v>
      </c>
      <c r="R16" s="59"/>
      <c r="S16" s="59">
        <f>SUM((1-(S15/T15))*100)</f>
        <v>100</v>
      </c>
      <c r="T16" s="59"/>
      <c r="U16" s="34"/>
      <c r="V16" s="34"/>
      <c r="W16" s="34"/>
    </row>
    <row r="17" spans="1:23" ht="25.5" customHeight="1" thickTop="1" thickBot="1" x14ac:dyDescent="0.4">
      <c r="A17" s="34"/>
      <c r="B17" s="30">
        <v>24</v>
      </c>
      <c r="C17" s="50">
        <v>65</v>
      </c>
      <c r="D17" s="51">
        <v>17.5</v>
      </c>
      <c r="E17" s="51">
        <v>0</v>
      </c>
      <c r="F17" s="51">
        <v>5</v>
      </c>
      <c r="G17" s="51">
        <v>0</v>
      </c>
      <c r="H17" s="52">
        <v>10</v>
      </c>
      <c r="I17" s="34"/>
      <c r="J17" s="34"/>
      <c r="K17" s="20" t="s">
        <v>69</v>
      </c>
      <c r="L17" s="77" t="s">
        <v>67</v>
      </c>
      <c r="M17" s="77" t="s">
        <v>68</v>
      </c>
      <c r="N17" s="77" t="s">
        <v>73</v>
      </c>
      <c r="O17" s="77" t="s">
        <v>74</v>
      </c>
      <c r="P17" s="77" t="s">
        <v>75</v>
      </c>
      <c r="Q17" s="77" t="s">
        <v>78</v>
      </c>
      <c r="R17" s="77" t="s">
        <v>79</v>
      </c>
      <c r="S17" s="77" t="s">
        <v>82</v>
      </c>
      <c r="T17" s="77"/>
      <c r="U17" s="34"/>
      <c r="V17" s="34"/>
      <c r="W17" s="34"/>
    </row>
    <row r="18" spans="1:23" ht="15.5" thickTop="1" thickBot="1" x14ac:dyDescent="0.4">
      <c r="A18" s="34"/>
      <c r="B18" s="30">
        <v>25</v>
      </c>
      <c r="C18" s="50">
        <v>23.5</v>
      </c>
      <c r="D18" s="51">
        <v>13.5</v>
      </c>
      <c r="E18" s="51">
        <v>0</v>
      </c>
      <c r="F18" s="51">
        <v>5</v>
      </c>
      <c r="G18" s="51">
        <v>11.5</v>
      </c>
      <c r="H18" s="52">
        <v>10</v>
      </c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</row>
    <row r="19" spans="1:23" ht="15.75" customHeight="1" thickTop="1" x14ac:dyDescent="0.35">
      <c r="A19" s="34"/>
      <c r="B19" s="30">
        <v>26</v>
      </c>
      <c r="C19" s="50">
        <v>60</v>
      </c>
      <c r="D19" s="51">
        <v>17.25</v>
      </c>
      <c r="E19" s="51">
        <v>0</v>
      </c>
      <c r="F19" s="51">
        <v>0</v>
      </c>
      <c r="G19" s="51">
        <v>10</v>
      </c>
      <c r="H19" s="52">
        <v>10</v>
      </c>
      <c r="I19" s="34"/>
      <c r="J19" s="143" t="s">
        <v>21</v>
      </c>
      <c r="K19" s="146" t="s">
        <v>188</v>
      </c>
      <c r="L19" s="146" t="s">
        <v>202</v>
      </c>
      <c r="M19" s="146" t="s">
        <v>201</v>
      </c>
      <c r="N19" s="146" t="s">
        <v>192</v>
      </c>
      <c r="O19" s="146" t="s">
        <v>193</v>
      </c>
      <c r="P19" s="146" t="s">
        <v>196</v>
      </c>
      <c r="Q19" s="146" t="s">
        <v>197</v>
      </c>
      <c r="R19" s="146" t="s">
        <v>203</v>
      </c>
      <c r="S19" s="146" t="s">
        <v>199</v>
      </c>
      <c r="T19" s="146" t="s">
        <v>204</v>
      </c>
      <c r="U19" s="149" t="s">
        <v>200</v>
      </c>
      <c r="V19" s="34"/>
      <c r="W19" s="34"/>
    </row>
    <row r="20" spans="1:23" x14ac:dyDescent="0.35">
      <c r="A20" s="34"/>
      <c r="B20" s="30">
        <v>1</v>
      </c>
      <c r="C20" s="50">
        <v>50</v>
      </c>
      <c r="D20" s="51">
        <v>16.5</v>
      </c>
      <c r="E20" s="51">
        <v>0</v>
      </c>
      <c r="F20" s="51">
        <v>10</v>
      </c>
      <c r="G20" s="51">
        <v>10</v>
      </c>
      <c r="H20" s="52">
        <v>10</v>
      </c>
      <c r="I20" s="34"/>
      <c r="J20" s="144"/>
      <c r="K20" s="147"/>
      <c r="L20" s="147"/>
      <c r="M20" s="147"/>
      <c r="N20" s="147"/>
      <c r="O20" s="147"/>
      <c r="P20" s="147"/>
      <c r="Q20" s="147"/>
      <c r="R20" s="147"/>
      <c r="S20" s="147"/>
      <c r="T20" s="147"/>
      <c r="U20" s="150"/>
      <c r="V20" s="34"/>
      <c r="W20" s="34"/>
    </row>
    <row r="21" spans="1:23" ht="25" customHeight="1" thickBot="1" x14ac:dyDescent="0.4">
      <c r="A21" s="34"/>
      <c r="B21" s="30">
        <v>2</v>
      </c>
      <c r="C21" s="50">
        <v>59</v>
      </c>
      <c r="D21" s="51">
        <v>12</v>
      </c>
      <c r="E21" s="51">
        <v>0</v>
      </c>
      <c r="F21" s="51">
        <v>11</v>
      </c>
      <c r="G21" s="51">
        <v>0</v>
      </c>
      <c r="H21" s="52">
        <v>10</v>
      </c>
      <c r="I21" s="34"/>
      <c r="J21" s="145"/>
      <c r="K21" s="148"/>
      <c r="L21" s="148"/>
      <c r="M21" s="148"/>
      <c r="N21" s="148"/>
      <c r="O21" s="148"/>
      <c r="P21" s="148"/>
      <c r="Q21" s="148"/>
      <c r="R21" s="148"/>
      <c r="S21" s="148"/>
      <c r="T21" s="148"/>
      <c r="U21" s="151"/>
      <c r="V21" s="34"/>
      <c r="W21" s="34"/>
    </row>
    <row r="22" spans="1:23" ht="15" thickTop="1" x14ac:dyDescent="0.35">
      <c r="A22" s="34"/>
      <c r="B22" s="30">
        <v>3</v>
      </c>
      <c r="C22" s="50">
        <v>50</v>
      </c>
      <c r="D22" s="51">
        <v>17</v>
      </c>
      <c r="E22" s="51">
        <v>10</v>
      </c>
      <c r="F22" s="51">
        <v>0</v>
      </c>
      <c r="G22" s="51">
        <v>10</v>
      </c>
      <c r="H22" s="52">
        <v>10</v>
      </c>
      <c r="I22" s="34"/>
      <c r="J22" s="10">
        <v>10</v>
      </c>
      <c r="K22" s="56">
        <v>0</v>
      </c>
      <c r="L22" s="48">
        <v>1</v>
      </c>
      <c r="M22" s="48">
        <v>0</v>
      </c>
      <c r="N22" s="48">
        <v>0</v>
      </c>
      <c r="O22" s="48">
        <v>0</v>
      </c>
      <c r="P22" s="48">
        <v>0</v>
      </c>
      <c r="Q22" s="48">
        <v>0</v>
      </c>
      <c r="R22" s="48">
        <v>0</v>
      </c>
      <c r="S22" s="48">
        <v>0</v>
      </c>
      <c r="T22" s="48">
        <v>1</v>
      </c>
      <c r="U22" s="49">
        <v>1</v>
      </c>
      <c r="V22" s="34"/>
      <c r="W22" s="34"/>
    </row>
    <row r="23" spans="1:23" x14ac:dyDescent="0.35">
      <c r="A23" s="34"/>
      <c r="B23" s="30">
        <v>4</v>
      </c>
      <c r="C23" s="50">
        <v>65</v>
      </c>
      <c r="D23" s="51">
        <v>8</v>
      </c>
      <c r="E23" s="51">
        <v>0</v>
      </c>
      <c r="F23" s="51">
        <v>5</v>
      </c>
      <c r="G23" s="51">
        <v>0</v>
      </c>
      <c r="H23" s="52">
        <v>10</v>
      </c>
      <c r="I23" s="34"/>
      <c r="J23" s="15">
        <v>11</v>
      </c>
      <c r="K23" s="57">
        <v>0</v>
      </c>
      <c r="L23" s="51">
        <v>0</v>
      </c>
      <c r="M23" s="51">
        <v>0</v>
      </c>
      <c r="N23" s="51">
        <v>0</v>
      </c>
      <c r="O23" s="51">
        <v>0</v>
      </c>
      <c r="P23" s="51">
        <v>0</v>
      </c>
      <c r="Q23" s="51">
        <v>0</v>
      </c>
      <c r="R23" s="51">
        <v>0</v>
      </c>
      <c r="S23" s="51">
        <v>0</v>
      </c>
      <c r="T23" s="51">
        <v>1</v>
      </c>
      <c r="U23" s="52">
        <v>0</v>
      </c>
      <c r="V23" s="34"/>
      <c r="W23" s="34"/>
    </row>
    <row r="24" spans="1:23" x14ac:dyDescent="0.35">
      <c r="A24" s="34"/>
      <c r="B24" s="30">
        <v>5</v>
      </c>
      <c r="C24" s="50">
        <v>70</v>
      </c>
      <c r="D24" s="51">
        <v>9.5</v>
      </c>
      <c r="E24" s="51">
        <v>0</v>
      </c>
      <c r="F24" s="51">
        <v>0</v>
      </c>
      <c r="G24" s="51">
        <v>0</v>
      </c>
      <c r="H24" s="52">
        <v>10</v>
      </c>
      <c r="I24" s="34"/>
      <c r="J24" s="15">
        <v>12</v>
      </c>
      <c r="K24" s="57">
        <v>0</v>
      </c>
      <c r="L24" s="51">
        <v>0</v>
      </c>
      <c r="M24" s="51">
        <v>1</v>
      </c>
      <c r="N24" s="51">
        <v>1</v>
      </c>
      <c r="O24" s="51">
        <v>1</v>
      </c>
      <c r="P24" s="51">
        <v>1</v>
      </c>
      <c r="Q24" s="51">
        <v>1</v>
      </c>
      <c r="R24" s="51">
        <v>0</v>
      </c>
      <c r="S24" s="51">
        <v>0</v>
      </c>
      <c r="T24" s="51">
        <v>1</v>
      </c>
      <c r="U24" s="52">
        <v>0</v>
      </c>
      <c r="V24" s="34"/>
      <c r="W24" s="34"/>
    </row>
    <row r="25" spans="1:23" x14ac:dyDescent="0.35">
      <c r="A25" s="34"/>
      <c r="B25" s="30">
        <v>6</v>
      </c>
      <c r="C25" s="50">
        <v>60</v>
      </c>
      <c r="D25" s="51">
        <v>17.75</v>
      </c>
      <c r="E25" s="51">
        <v>0</v>
      </c>
      <c r="F25" s="51">
        <v>10</v>
      </c>
      <c r="G25" s="51">
        <v>0</v>
      </c>
      <c r="H25" s="52">
        <v>10</v>
      </c>
      <c r="I25" s="34"/>
      <c r="J25" s="15">
        <v>1</v>
      </c>
      <c r="K25" s="57">
        <v>1</v>
      </c>
      <c r="L25" s="51">
        <v>0</v>
      </c>
      <c r="M25" s="51">
        <v>1</v>
      </c>
      <c r="N25" s="51">
        <v>1</v>
      </c>
      <c r="O25" s="51">
        <v>1</v>
      </c>
      <c r="P25" s="51">
        <v>1</v>
      </c>
      <c r="Q25" s="51">
        <v>1</v>
      </c>
      <c r="R25" s="51">
        <v>0</v>
      </c>
      <c r="S25" s="51">
        <v>0</v>
      </c>
      <c r="T25" s="51">
        <v>1</v>
      </c>
      <c r="U25" s="52">
        <v>0</v>
      </c>
      <c r="V25" s="34"/>
      <c r="W25" s="34"/>
    </row>
    <row r="26" spans="1:23" x14ac:dyDescent="0.35">
      <c r="A26" s="34"/>
      <c r="B26" s="30">
        <v>7</v>
      </c>
      <c r="C26" s="50">
        <v>70</v>
      </c>
      <c r="D26" s="51">
        <v>9.5</v>
      </c>
      <c r="E26" s="51">
        <v>0</v>
      </c>
      <c r="F26" s="51">
        <v>0</v>
      </c>
      <c r="G26" s="51">
        <v>0</v>
      </c>
      <c r="H26" s="52">
        <v>10</v>
      </c>
      <c r="I26" s="34"/>
      <c r="J26" s="15">
        <v>2</v>
      </c>
      <c r="K26" s="57">
        <v>0</v>
      </c>
      <c r="L26" s="51">
        <v>0</v>
      </c>
      <c r="M26" s="51">
        <v>0</v>
      </c>
      <c r="N26" s="51">
        <v>0</v>
      </c>
      <c r="O26" s="51">
        <v>1</v>
      </c>
      <c r="P26" s="51">
        <v>0</v>
      </c>
      <c r="Q26" s="51">
        <v>0</v>
      </c>
      <c r="R26" s="51">
        <v>0</v>
      </c>
      <c r="S26" s="51">
        <v>0</v>
      </c>
      <c r="T26" s="51">
        <v>1</v>
      </c>
      <c r="U26" s="52">
        <v>0</v>
      </c>
      <c r="V26" s="34"/>
      <c r="W26" s="34"/>
    </row>
    <row r="27" spans="1:23" x14ac:dyDescent="0.35">
      <c r="A27" s="34"/>
      <c r="B27" s="30">
        <v>8</v>
      </c>
      <c r="C27" s="50">
        <v>65</v>
      </c>
      <c r="D27" s="51">
        <v>9</v>
      </c>
      <c r="E27" s="51">
        <v>5</v>
      </c>
      <c r="F27" s="51">
        <v>0</v>
      </c>
      <c r="G27" s="51">
        <v>0</v>
      </c>
      <c r="H27" s="52">
        <v>10</v>
      </c>
      <c r="I27" s="34"/>
      <c r="J27" s="15">
        <v>3</v>
      </c>
      <c r="K27" s="57">
        <v>0</v>
      </c>
      <c r="L27" s="51">
        <v>0</v>
      </c>
      <c r="M27" s="51">
        <v>0</v>
      </c>
      <c r="N27" s="51">
        <v>0</v>
      </c>
      <c r="O27" s="51">
        <v>1</v>
      </c>
      <c r="P27" s="51">
        <v>0</v>
      </c>
      <c r="Q27" s="51">
        <v>0</v>
      </c>
      <c r="R27" s="51">
        <v>0</v>
      </c>
      <c r="S27" s="51">
        <v>0</v>
      </c>
      <c r="T27" s="51">
        <v>1</v>
      </c>
      <c r="U27" s="52">
        <v>1</v>
      </c>
      <c r="V27" s="34"/>
      <c r="W27" s="34"/>
    </row>
    <row r="28" spans="1:23" x14ac:dyDescent="0.35">
      <c r="A28" s="34"/>
      <c r="B28" s="30">
        <v>9</v>
      </c>
      <c r="C28" s="50">
        <v>46</v>
      </c>
      <c r="D28" s="51">
        <v>9</v>
      </c>
      <c r="E28" s="51">
        <v>0</v>
      </c>
      <c r="F28" s="51">
        <v>24</v>
      </c>
      <c r="G28" s="51">
        <v>0</v>
      </c>
      <c r="H28" s="52">
        <v>10</v>
      </c>
      <c r="I28" s="34"/>
      <c r="J28" s="15">
        <v>4</v>
      </c>
      <c r="K28" s="57">
        <v>0</v>
      </c>
      <c r="L28" s="51">
        <v>0</v>
      </c>
      <c r="M28" s="51">
        <v>0</v>
      </c>
      <c r="N28" s="51">
        <v>0</v>
      </c>
      <c r="O28" s="51">
        <v>1</v>
      </c>
      <c r="P28" s="51">
        <v>0</v>
      </c>
      <c r="Q28" s="51">
        <v>0</v>
      </c>
      <c r="R28" s="51">
        <v>0</v>
      </c>
      <c r="S28" s="51">
        <v>0</v>
      </c>
      <c r="T28" s="51">
        <v>1</v>
      </c>
      <c r="U28" s="52">
        <v>2</v>
      </c>
      <c r="V28" s="34"/>
      <c r="W28" s="34"/>
    </row>
    <row r="29" spans="1:23" x14ac:dyDescent="0.35">
      <c r="A29" s="34"/>
      <c r="B29" s="30">
        <v>10</v>
      </c>
      <c r="C29" s="50">
        <v>60</v>
      </c>
      <c r="D29" s="51">
        <v>19.75</v>
      </c>
      <c r="E29" s="51">
        <v>0</v>
      </c>
      <c r="F29" s="51">
        <v>0</v>
      </c>
      <c r="G29" s="51">
        <v>10</v>
      </c>
      <c r="H29" s="52">
        <v>10</v>
      </c>
      <c r="I29" s="34"/>
      <c r="J29" s="15">
        <v>5</v>
      </c>
      <c r="K29" s="57">
        <v>1</v>
      </c>
      <c r="L29" s="51">
        <v>0</v>
      </c>
      <c r="M29" s="51">
        <v>0</v>
      </c>
      <c r="N29" s="51">
        <v>0</v>
      </c>
      <c r="O29" s="51">
        <v>1</v>
      </c>
      <c r="P29" s="51">
        <v>1</v>
      </c>
      <c r="Q29" s="51">
        <v>0</v>
      </c>
      <c r="R29" s="51">
        <v>0</v>
      </c>
      <c r="S29" s="51">
        <v>0</v>
      </c>
      <c r="T29" s="51">
        <v>1</v>
      </c>
      <c r="U29" s="52">
        <v>1</v>
      </c>
      <c r="V29" s="34"/>
      <c r="W29" s="34"/>
    </row>
    <row r="30" spans="1:23" x14ac:dyDescent="0.35">
      <c r="A30" s="34"/>
      <c r="B30" s="30">
        <v>11</v>
      </c>
      <c r="C30" s="50">
        <v>65</v>
      </c>
      <c r="D30" s="51">
        <v>16.5</v>
      </c>
      <c r="E30" s="51">
        <v>0</v>
      </c>
      <c r="F30" s="51">
        <v>5</v>
      </c>
      <c r="G30" s="51">
        <v>0</v>
      </c>
      <c r="H30" s="52">
        <v>10</v>
      </c>
      <c r="I30" s="34"/>
      <c r="J30" s="15">
        <v>6</v>
      </c>
      <c r="K30" s="57">
        <v>0</v>
      </c>
      <c r="L30" s="51">
        <v>0</v>
      </c>
      <c r="M30" s="51">
        <v>0</v>
      </c>
      <c r="N30" s="51">
        <v>0</v>
      </c>
      <c r="O30" s="51">
        <v>1</v>
      </c>
      <c r="P30" s="51">
        <v>0</v>
      </c>
      <c r="Q30" s="51">
        <v>0</v>
      </c>
      <c r="R30" s="51">
        <v>0</v>
      </c>
      <c r="S30" s="51">
        <v>0</v>
      </c>
      <c r="T30" s="51">
        <v>0</v>
      </c>
      <c r="U30" s="52">
        <v>0</v>
      </c>
      <c r="V30" s="34"/>
      <c r="W30" s="34"/>
    </row>
    <row r="31" spans="1:23" x14ac:dyDescent="0.35">
      <c r="A31" s="34"/>
      <c r="B31" s="30">
        <v>12</v>
      </c>
      <c r="C31" s="50">
        <v>60</v>
      </c>
      <c r="D31" s="51">
        <v>10</v>
      </c>
      <c r="E31" s="51">
        <v>0</v>
      </c>
      <c r="F31" s="51">
        <v>0</v>
      </c>
      <c r="G31" s="51">
        <v>10</v>
      </c>
      <c r="H31" s="52">
        <v>10</v>
      </c>
      <c r="I31" s="34"/>
      <c r="J31" s="15">
        <v>7</v>
      </c>
      <c r="K31" s="57">
        <v>0</v>
      </c>
      <c r="L31" s="51">
        <v>0</v>
      </c>
      <c r="M31" s="51">
        <v>0</v>
      </c>
      <c r="N31" s="51">
        <v>0</v>
      </c>
      <c r="O31" s="51">
        <v>0</v>
      </c>
      <c r="P31" s="51">
        <v>1</v>
      </c>
      <c r="Q31" s="51">
        <v>0</v>
      </c>
      <c r="R31" s="51">
        <v>0</v>
      </c>
      <c r="S31" s="51">
        <v>0</v>
      </c>
      <c r="T31" s="51">
        <v>0</v>
      </c>
      <c r="U31" s="52">
        <v>0</v>
      </c>
      <c r="V31" s="34"/>
      <c r="W31" s="34"/>
    </row>
    <row r="32" spans="1:23" x14ac:dyDescent="0.35">
      <c r="A32" s="34"/>
      <c r="B32" s="30">
        <v>13</v>
      </c>
      <c r="C32" s="50">
        <v>20</v>
      </c>
      <c r="D32" s="51">
        <v>0</v>
      </c>
      <c r="E32" s="51">
        <v>40</v>
      </c>
      <c r="F32" s="51">
        <v>0</v>
      </c>
      <c r="G32" s="51">
        <v>10</v>
      </c>
      <c r="H32" s="52">
        <v>10</v>
      </c>
      <c r="I32" s="34"/>
      <c r="J32" s="15">
        <v>8</v>
      </c>
      <c r="K32" s="57"/>
      <c r="L32" s="51">
        <v>1</v>
      </c>
      <c r="M32" s="51"/>
      <c r="N32" s="51"/>
      <c r="O32" s="51"/>
      <c r="P32" s="51"/>
      <c r="Q32" s="51"/>
      <c r="R32" s="51"/>
      <c r="S32" s="51">
        <v>0</v>
      </c>
      <c r="T32" s="51"/>
      <c r="U32" s="52"/>
      <c r="V32" s="34"/>
      <c r="W32" s="34"/>
    </row>
    <row r="33" spans="1:23" ht="15" thickBot="1" x14ac:dyDescent="0.4">
      <c r="A33" s="34"/>
      <c r="B33" s="30">
        <v>14</v>
      </c>
      <c r="C33" s="50">
        <v>40</v>
      </c>
      <c r="D33" s="51">
        <v>19</v>
      </c>
      <c r="E33" s="51">
        <v>30</v>
      </c>
      <c r="F33" s="51">
        <v>0</v>
      </c>
      <c r="G33" s="51">
        <v>0</v>
      </c>
      <c r="H33" s="52">
        <v>10</v>
      </c>
      <c r="I33" s="34"/>
      <c r="J33" s="44">
        <v>9</v>
      </c>
      <c r="K33" s="58"/>
      <c r="L33" s="54"/>
      <c r="M33" s="54"/>
      <c r="N33" s="54"/>
      <c r="O33" s="54"/>
      <c r="P33" s="54"/>
      <c r="Q33" s="54"/>
      <c r="R33" s="54"/>
      <c r="S33" s="54"/>
      <c r="T33" s="54"/>
      <c r="U33" s="55"/>
      <c r="V33" s="34"/>
      <c r="W33" s="34"/>
    </row>
    <row r="34" spans="1:23" ht="17" thickTop="1" thickBot="1" x14ac:dyDescent="0.4">
      <c r="A34" s="34"/>
      <c r="B34" s="30">
        <v>15</v>
      </c>
      <c r="C34" s="50"/>
      <c r="D34" s="51"/>
      <c r="E34" s="51"/>
      <c r="F34" s="51"/>
      <c r="G34" s="51"/>
      <c r="H34" s="52"/>
      <c r="I34" s="34"/>
      <c r="J34" s="32" t="s">
        <v>23</v>
      </c>
      <c r="K34" s="33">
        <f t="shared" ref="K34:U34" si="1">SUM(K22:K33)</f>
        <v>2</v>
      </c>
      <c r="L34" s="33">
        <f t="shared" si="1"/>
        <v>2</v>
      </c>
      <c r="M34" s="33">
        <f t="shared" si="1"/>
        <v>2</v>
      </c>
      <c r="N34" s="33">
        <f t="shared" si="1"/>
        <v>2</v>
      </c>
      <c r="O34" s="33">
        <f t="shared" si="1"/>
        <v>7</v>
      </c>
      <c r="P34" s="33">
        <f t="shared" si="1"/>
        <v>4</v>
      </c>
      <c r="Q34" s="33">
        <f t="shared" si="1"/>
        <v>2</v>
      </c>
      <c r="R34" s="33">
        <f t="shared" si="1"/>
        <v>0</v>
      </c>
      <c r="S34" s="33">
        <f t="shared" si="1"/>
        <v>0</v>
      </c>
      <c r="T34" s="33">
        <f t="shared" si="1"/>
        <v>8</v>
      </c>
      <c r="U34" s="21">
        <f t="shared" si="1"/>
        <v>5</v>
      </c>
      <c r="V34" s="34"/>
      <c r="W34" s="34"/>
    </row>
    <row r="35" spans="1:23" ht="25" thickTop="1" thickBot="1" x14ac:dyDescent="0.4">
      <c r="A35" s="34"/>
      <c r="B35" s="30">
        <v>16</v>
      </c>
      <c r="C35" s="50"/>
      <c r="D35" s="51"/>
      <c r="E35" s="51"/>
      <c r="F35" s="51"/>
      <c r="G35" s="51"/>
      <c r="H35" s="52"/>
      <c r="I35" s="34"/>
      <c r="J35" s="76" t="s">
        <v>69</v>
      </c>
      <c r="K35" s="77" t="s">
        <v>70</v>
      </c>
      <c r="L35" s="77" t="s">
        <v>71</v>
      </c>
      <c r="M35" s="77" t="s">
        <v>72</v>
      </c>
      <c r="N35" s="77" t="s">
        <v>76</v>
      </c>
      <c r="O35" s="77" t="s">
        <v>77</v>
      </c>
      <c r="P35" s="77" t="s">
        <v>80</v>
      </c>
      <c r="Q35" s="77" t="s">
        <v>81</v>
      </c>
      <c r="R35" s="77" t="s">
        <v>83</v>
      </c>
      <c r="S35" s="77" t="s">
        <v>84</v>
      </c>
      <c r="T35" s="77" t="s">
        <v>85</v>
      </c>
      <c r="U35" s="77" t="s">
        <v>86</v>
      </c>
      <c r="V35" s="34"/>
      <c r="W35" s="34"/>
    </row>
    <row r="36" spans="1:23" ht="15" thickTop="1" x14ac:dyDescent="0.35">
      <c r="A36" s="34"/>
      <c r="B36" s="30">
        <v>17</v>
      </c>
      <c r="C36" s="50"/>
      <c r="D36" s="51"/>
      <c r="E36" s="51"/>
      <c r="F36" s="51"/>
      <c r="G36" s="51"/>
      <c r="H36" s="52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</row>
    <row r="37" spans="1:23" x14ac:dyDescent="0.35">
      <c r="A37" s="34"/>
      <c r="B37" s="30">
        <v>18</v>
      </c>
      <c r="C37" s="50"/>
      <c r="D37" s="51"/>
      <c r="E37" s="51"/>
      <c r="F37" s="51"/>
      <c r="G37" s="51"/>
      <c r="H37" s="52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</row>
    <row r="38" spans="1:23" x14ac:dyDescent="0.35">
      <c r="A38" s="34"/>
      <c r="B38" s="30">
        <v>19</v>
      </c>
      <c r="C38" s="50"/>
      <c r="D38" s="51"/>
      <c r="E38" s="51"/>
      <c r="F38" s="51"/>
      <c r="G38" s="51"/>
      <c r="H38" s="52"/>
      <c r="I38" s="34"/>
      <c r="J38" s="152" t="s">
        <v>57</v>
      </c>
      <c r="K38" s="152"/>
      <c r="L38" s="152"/>
      <c r="M38" s="152"/>
      <c r="N38" s="152"/>
      <c r="O38" s="152"/>
      <c r="P38" s="34"/>
      <c r="Q38" s="34"/>
      <c r="R38" s="34"/>
      <c r="S38" s="34"/>
      <c r="T38" s="34"/>
      <c r="U38" s="34"/>
      <c r="V38" s="34"/>
      <c r="W38" s="34"/>
    </row>
    <row r="39" spans="1:23" x14ac:dyDescent="0.35">
      <c r="A39" s="34"/>
      <c r="B39" s="30">
        <v>20</v>
      </c>
      <c r="C39" s="50"/>
      <c r="D39" s="51"/>
      <c r="E39" s="51"/>
      <c r="F39" s="51"/>
      <c r="G39" s="51"/>
      <c r="H39" s="52"/>
      <c r="I39" s="34"/>
      <c r="J39" s="152"/>
      <c r="K39" s="152"/>
      <c r="L39" s="152"/>
      <c r="M39" s="152"/>
      <c r="N39" s="152"/>
      <c r="O39" s="152"/>
      <c r="P39" s="34"/>
      <c r="Q39" s="34"/>
      <c r="R39" s="34"/>
      <c r="S39" s="34"/>
      <c r="T39" s="34"/>
      <c r="U39" s="34"/>
      <c r="V39" s="34"/>
      <c r="W39" s="34"/>
    </row>
    <row r="40" spans="1:23" ht="15" thickBot="1" x14ac:dyDescent="0.4">
      <c r="A40" s="34"/>
      <c r="B40" s="30">
        <v>21</v>
      </c>
      <c r="C40" s="50"/>
      <c r="D40" s="51"/>
      <c r="E40" s="51"/>
      <c r="F40" s="51"/>
      <c r="G40" s="51"/>
      <c r="H40" s="52"/>
      <c r="I40" s="34"/>
      <c r="J40" s="35"/>
      <c r="K40" s="35"/>
      <c r="L40" s="35"/>
      <c r="M40" s="35"/>
      <c r="N40" s="35"/>
      <c r="O40" s="35"/>
      <c r="P40" s="34"/>
      <c r="Q40" s="34"/>
      <c r="R40" s="34"/>
      <c r="S40" s="34"/>
      <c r="T40" s="34"/>
      <c r="U40" s="34"/>
      <c r="V40" s="34"/>
      <c r="W40" s="34"/>
    </row>
    <row r="41" spans="1:23" ht="15.5" thickTop="1" thickBot="1" x14ac:dyDescent="0.4">
      <c r="A41" s="34"/>
      <c r="B41" s="30">
        <v>22</v>
      </c>
      <c r="C41" s="50"/>
      <c r="D41" s="51"/>
      <c r="E41" s="51"/>
      <c r="F41" s="51"/>
      <c r="G41" s="51"/>
      <c r="H41" s="52"/>
      <c r="I41" s="34"/>
      <c r="J41" s="34"/>
      <c r="K41" s="36" t="s">
        <v>0</v>
      </c>
      <c r="L41" s="36" t="s">
        <v>1</v>
      </c>
      <c r="M41" s="36" t="s">
        <v>2</v>
      </c>
      <c r="N41" s="36" t="s">
        <v>3</v>
      </c>
      <c r="O41" s="34"/>
      <c r="P41" s="34"/>
      <c r="Q41" s="34"/>
      <c r="R41" s="34"/>
      <c r="S41" s="34"/>
      <c r="T41" s="34"/>
      <c r="U41" s="34"/>
      <c r="V41" s="34"/>
      <c r="W41" s="34"/>
    </row>
    <row r="42" spans="1:23" ht="15.5" thickTop="1" thickBot="1" x14ac:dyDescent="0.4">
      <c r="A42" s="34"/>
      <c r="B42" s="30">
        <v>23</v>
      </c>
      <c r="C42" s="50"/>
      <c r="D42" s="51"/>
      <c r="E42" s="51"/>
      <c r="F42" s="51"/>
      <c r="G42" s="51"/>
      <c r="H42" s="52"/>
      <c r="I42" s="34"/>
      <c r="J42" s="34"/>
      <c r="K42" s="21" t="str">
        <f>IF(OR('3'!C3&gt;SetUp!C7,'3'!C4&lt;SetUp!C8),"Unacceptable",IF(AND(AND('3'!C3&lt;=SetUp!D7,'3'!C4&gt;=SetUp!D8),OR('3'!C5&gt;=SetUp!C12,'3'!C6&gt;=SetUp!C13,'3'!C7&gt;=SetUp!C14)), "Exceptional", "Fully Successful"))</f>
        <v>Exceptional</v>
      </c>
      <c r="L42" s="21" t="str">
        <f>IF(OR('3'!D3&lt;SetUp!E7,'3'!D4&gt;SetUp!E8,'3'!D5&lt;SetUp!E9),"Unacceptable", IF(AND(AND('3'!D3&gt;=SetUp!F7,'3'!D4&lt;=SetUp!F8,'3'!D5&gt;=SetUp!F9),OR('3'!D6&gt;=SetUp!E13,'3'!D7&gt;=SetUp!E14)), "Exceptional", "Fully Successful"))</f>
        <v>Exceptional</v>
      </c>
      <c r="M42" s="21" t="str">
        <f>IF(OR('3'!E3&lt;SetUp!G7,'3'!E4&gt;SetUp!G8),"Unacceptable",IF(AND(AND('3'!E3&gt;=SetUp!H7, '3'!E4&lt;=SetUp!H8),OR('3'!E5&gt;=SetUp!G12, '3'!E6&gt;=SetUp!G13)), "Exceptional", "Fully Successful"))</f>
        <v>Exceptional</v>
      </c>
      <c r="N42" s="21" t="str">
        <f>IF(OR(F3&lt;SetUp!I7,'3'!F4&gt;SetUp!I11),"Unacceptable",IF(AND(AND(F3&gt;=SetUp!J7,'3'!F4&lt;=SetUp!I11),OR('3'!F5&gt;=SetUp!I12,'3'!F6&gt;=SetUp!I13,'3'!F7&gt;=SetUp!I14)),"Exceptional","Fully Successful"))</f>
        <v>Exceptional</v>
      </c>
      <c r="O42" s="34"/>
      <c r="P42" s="34"/>
      <c r="Q42" s="34"/>
      <c r="R42" s="34"/>
      <c r="S42" s="34"/>
      <c r="T42" s="34"/>
      <c r="U42" s="34"/>
      <c r="V42" s="34"/>
      <c r="W42" s="34"/>
    </row>
    <row r="43" spans="1:23" ht="15.5" thickTop="1" thickBot="1" x14ac:dyDescent="0.4">
      <c r="A43" s="34"/>
      <c r="B43" s="30">
        <v>24</v>
      </c>
      <c r="C43" s="50"/>
      <c r="D43" s="51"/>
      <c r="E43" s="51"/>
      <c r="F43" s="51"/>
      <c r="G43" s="51"/>
      <c r="H43" s="52"/>
      <c r="I43" s="34"/>
      <c r="J43" s="34"/>
      <c r="K43" s="21">
        <f>IF(K42="Exceptional", 10, IF(K42="Fully Successful", 1, 0))</f>
        <v>10</v>
      </c>
      <c r="L43" s="21">
        <f>IF(L42="Exceptional", 10, IF(L42="Fully Successful", 1, 0))</f>
        <v>10</v>
      </c>
      <c r="M43" s="21">
        <f>IF(M42="Exceptional", 10, IF(M42="Fully Successful", 1, 0))</f>
        <v>10</v>
      </c>
      <c r="N43" s="21">
        <f>IF(N42="Exceptional", 10, IF(N42="Fully Successful", 1, 0))</f>
        <v>10</v>
      </c>
      <c r="O43" s="34"/>
      <c r="P43" s="34"/>
      <c r="Q43" s="34"/>
      <c r="R43" s="34"/>
      <c r="S43" s="34"/>
      <c r="T43" s="34"/>
      <c r="U43" s="34"/>
      <c r="V43" s="34"/>
      <c r="W43" s="34"/>
    </row>
    <row r="44" spans="1:23" ht="15.75" customHeight="1" thickTop="1" thickBot="1" x14ac:dyDescent="0.4">
      <c r="A44" s="34"/>
      <c r="B44" s="30">
        <v>25</v>
      </c>
      <c r="C44" s="50"/>
      <c r="D44" s="51"/>
      <c r="E44" s="51"/>
      <c r="F44" s="51"/>
      <c r="G44" s="51"/>
      <c r="H44" s="52"/>
      <c r="I44" s="34"/>
      <c r="J44" s="34"/>
      <c r="K44" s="34"/>
      <c r="L44" s="21">
        <f>SUM(K43:M43)</f>
        <v>30</v>
      </c>
      <c r="M44" s="21">
        <f>N43</f>
        <v>10</v>
      </c>
      <c r="N44" s="21" t="str">
        <f>IF(L44+M44=40,"OutStanding",IF(AND(L44&gt;=30,M44&gt;=1),"Excellent",IF(AND(K43&gt;=1,L43&gt;=1,M43&gt;=1,N43&gt;=1),"Fully Successful",IF(AND(K43&gt;=1,L43&gt;=1,M43&gt;=1,N43&lt;1),"Minimally Successful","Unacceptable"))))</f>
        <v>OutStanding</v>
      </c>
      <c r="O44" s="34"/>
      <c r="P44" s="34"/>
      <c r="Q44" s="34"/>
      <c r="R44" s="34"/>
      <c r="S44" s="34"/>
      <c r="T44" s="34"/>
      <c r="U44" s="34"/>
      <c r="V44" s="34"/>
      <c r="W44" s="34"/>
    </row>
    <row r="45" spans="1:23" ht="15.5" thickTop="1" thickBot="1" x14ac:dyDescent="0.4">
      <c r="A45" s="34"/>
      <c r="B45" s="37">
        <v>26</v>
      </c>
      <c r="C45" s="53"/>
      <c r="D45" s="54"/>
      <c r="E45" s="54"/>
      <c r="F45" s="54"/>
      <c r="G45" s="54"/>
      <c r="H45" s="55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</row>
    <row r="46" spans="1:23" ht="15.5" thickTop="1" thickBot="1" x14ac:dyDescent="0.4">
      <c r="A46" s="34"/>
      <c r="B46" s="14" t="s">
        <v>23</v>
      </c>
      <c r="C46" s="21">
        <f t="shared" ref="C46:H46" si="2">SUM(C13:C45)</f>
        <v>1132</v>
      </c>
      <c r="D46" s="21">
        <f t="shared" si="2"/>
        <v>260.25</v>
      </c>
      <c r="E46" s="21">
        <f t="shared" si="2"/>
        <v>89</v>
      </c>
      <c r="F46" s="21">
        <f t="shared" si="2"/>
        <v>117.5</v>
      </c>
      <c r="G46" s="21">
        <f t="shared" si="2"/>
        <v>101.5</v>
      </c>
      <c r="H46" s="21">
        <f t="shared" si="2"/>
        <v>210</v>
      </c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</row>
    <row r="47" spans="1:23" ht="15.5" thickTop="1" thickBot="1" x14ac:dyDescent="0.4">
      <c r="A47" s="34"/>
      <c r="B47" s="14" t="s">
        <v>26</v>
      </c>
      <c r="C47" s="21">
        <f>C46+D46+E46+F46+G46+H46</f>
        <v>1910.25</v>
      </c>
      <c r="D47" s="153" t="s">
        <v>66</v>
      </c>
      <c r="E47" s="154"/>
      <c r="F47" s="155">
        <f>C46+D46</f>
        <v>1392.25</v>
      </c>
      <c r="G47" s="156"/>
      <c r="H47" s="157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</row>
    <row r="48" spans="1:23" ht="15" thickTop="1" x14ac:dyDescent="0.35">
      <c r="A48" s="34"/>
      <c r="B48" s="34"/>
      <c r="C48" s="75"/>
      <c r="D48" s="75"/>
      <c r="E48" s="75"/>
      <c r="F48" s="75"/>
      <c r="G48" s="75"/>
      <c r="H48" s="75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</row>
    <row r="49" spans="1:23" x14ac:dyDescent="0.35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</row>
    <row r="50" spans="1:23" x14ac:dyDescent="0.35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</row>
    <row r="51" spans="1:23" x14ac:dyDescent="0.35">
      <c r="A51" s="34"/>
      <c r="B51" s="34"/>
      <c r="C51" s="34"/>
      <c r="D51" s="34"/>
      <c r="E51" s="34"/>
      <c r="F51" s="34"/>
      <c r="G51" s="34"/>
      <c r="H51" s="34"/>
      <c r="I51" s="34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4"/>
      <c r="W51" s="34"/>
    </row>
    <row r="52" spans="1:23" x14ac:dyDescent="0.35">
      <c r="A52" s="34"/>
      <c r="B52" s="34"/>
      <c r="C52" s="34"/>
      <c r="D52" s="34"/>
      <c r="E52" s="34"/>
      <c r="F52" s="34"/>
      <c r="G52" s="34"/>
      <c r="H52" s="34"/>
      <c r="I52" s="34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4"/>
      <c r="W52" s="34"/>
    </row>
    <row r="53" spans="1:23" x14ac:dyDescent="0.35">
      <c r="A53" s="34"/>
      <c r="B53" s="34"/>
      <c r="C53" s="34"/>
      <c r="D53" s="34"/>
      <c r="E53" s="34"/>
      <c r="F53" s="34"/>
      <c r="G53" s="34"/>
      <c r="H53" s="34"/>
      <c r="I53" s="34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4"/>
      <c r="W53" s="34"/>
    </row>
    <row r="54" spans="1:23" x14ac:dyDescent="0.35"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</row>
    <row r="55" spans="1:23" x14ac:dyDescent="0.35"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</row>
    <row r="56" spans="1:23" x14ac:dyDescent="0.35"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</row>
    <row r="57" spans="1:23" x14ac:dyDescent="0.35"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</row>
    <row r="58" spans="1:23" x14ac:dyDescent="0.35"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</row>
    <row r="59" spans="1:23" x14ac:dyDescent="0.35"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</row>
    <row r="60" spans="1:23" x14ac:dyDescent="0.35"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</row>
  </sheetData>
  <sheetProtection selectLockedCells="1"/>
  <mergeCells count="18">
    <mergeCell ref="H2:I2"/>
    <mergeCell ref="B9:B10"/>
    <mergeCell ref="C9:F10"/>
    <mergeCell ref="J19:J21"/>
    <mergeCell ref="K19:K21"/>
    <mergeCell ref="S19:S21"/>
    <mergeCell ref="T19:T21"/>
    <mergeCell ref="U19:U21"/>
    <mergeCell ref="J38:O39"/>
    <mergeCell ref="D47:E47"/>
    <mergeCell ref="F47:H47"/>
    <mergeCell ref="M19:M21"/>
    <mergeCell ref="N19:N21"/>
    <mergeCell ref="O19:O21"/>
    <mergeCell ref="P19:P21"/>
    <mergeCell ref="Q19:Q21"/>
    <mergeCell ref="R19:R21"/>
    <mergeCell ref="L19:L21"/>
  </mergeCells>
  <conditionalFormatting sqref="C8:F8">
    <cfRule type="containsText" dxfId="379" priority="29" operator="containsText" text="Exceptional">
      <formula>NOT(ISERROR(SEARCH("Exceptional",C8)))</formula>
    </cfRule>
  </conditionalFormatting>
  <conditionalFormatting sqref="C8:F10">
    <cfRule type="containsText" dxfId="378" priority="24" operator="containsText" text="Unacceptable">
      <formula>NOT(ISERROR(SEARCH("Unacceptable",C8)))</formula>
    </cfRule>
    <cfRule type="containsText" dxfId="377" priority="26" operator="containsText" text="Fully Successful">
      <formula>NOT(ISERROR(SEARCH("Fully Successful",C8)))</formula>
    </cfRule>
  </conditionalFormatting>
  <conditionalFormatting sqref="C9:F10">
    <cfRule type="containsText" dxfId="376" priority="25" operator="containsText" text="Minimally Successful">
      <formula>NOT(ISERROR(SEARCH("Minimally Successful",C9)))</formula>
    </cfRule>
    <cfRule type="containsText" dxfId="375" priority="28" operator="containsText" text="Outstanding">
      <formula>NOT(ISERROR(SEARCH("Outstanding",C9)))</formula>
    </cfRule>
    <cfRule type="containsText" dxfId="374" priority="27" operator="containsText" text="Excellent">
      <formula>NOT(ISERROR(SEARCH("Excellent",C9)))</formula>
    </cfRule>
  </conditionalFormatting>
  <conditionalFormatting sqref="E7">
    <cfRule type="cellIs" dxfId="353" priority="50" operator="notEqual">
      <formula>1</formula>
    </cfRule>
  </conditionalFormatting>
  <conditionalFormatting sqref="H3">
    <cfRule type="cellIs" dxfId="341" priority="59" operator="notEqual">
      <formula>1</formula>
    </cfRule>
  </conditionalFormatting>
  <conditionalFormatting sqref="H4">
    <cfRule type="cellIs" dxfId="340" priority="43" operator="notEqual">
      <formula>1</formula>
    </cfRule>
  </conditionalFormatting>
  <conditionalFormatting sqref="H5">
    <cfRule type="cellIs" dxfId="339" priority="58" operator="notEqual">
      <formula>1</formula>
    </cfRule>
  </conditionalFormatting>
  <conditionalFormatting sqref="H6">
    <cfRule type="cellIs" dxfId="338" priority="57" operator="notEqual">
      <formula>1</formula>
    </cfRule>
  </conditionalFormatting>
  <conditionalFormatting sqref="H7">
    <cfRule type="cellIs" dxfId="337" priority="56" operator="notEqual">
      <formula>1</formula>
    </cfRule>
  </conditionalFormatting>
  <conditionalFormatting sqref="H8">
    <cfRule type="cellIs" dxfId="336" priority="55" operator="notEqual">
      <formula>1</formula>
    </cfRule>
  </conditionalFormatting>
  <conditionalFormatting sqref="H9">
    <cfRule type="cellIs" dxfId="335" priority="44" operator="notEqual">
      <formula>1</formula>
    </cfRule>
  </conditionalFormatting>
  <conditionalFormatting sqref="J19">
    <cfRule type="beginsWith" dxfId="334" priority="5" operator="beginsWith" text="Not Fully Successful">
      <formula>LEFT(J19,LEN("Not Fully Successful"))="Not Fully Successful"</formula>
    </cfRule>
    <cfRule type="beginsWith" dxfId="333" priority="4" operator="beginsWith" text="Fully Successful">
      <formula>LEFT(J19,LEN("Fully Successful"))="Fully Successful"</formula>
    </cfRule>
    <cfRule type="containsText" dxfId="332" priority="3" operator="containsText" text="Exceptional">
      <formula>NOT(ISERROR(SEARCH("Exceptional",J19)))</formula>
    </cfRule>
    <cfRule type="containsText" dxfId="331" priority="2" operator="containsText" text="Not Fulfilled">
      <formula>NOT(ISERROR(SEARCH("Not Fulfilled",J19)))</formula>
    </cfRule>
    <cfRule type="beginsWith" dxfId="330" priority="1" operator="beginsWith" text="Fulfilled">
      <formula>LEFT(J19,LEN("Fulfilled"))="Fulfilled"</formula>
    </cfRule>
  </conditionalFormatting>
  <conditionalFormatting sqref="L2 Q2 S2">
    <cfRule type="beginsWith" dxfId="329" priority="6" operator="beginsWith" text="Fulfilled">
      <formula>LEFT(L2,LEN("Fulfilled"))="Fulfilled"</formula>
    </cfRule>
    <cfRule type="beginsWith" dxfId="328" priority="9" operator="beginsWith" text="Fully Successful">
      <formula>LEFT(L2,LEN("Fully Successful"))="Fully Successful"</formula>
    </cfRule>
    <cfRule type="beginsWith" dxfId="327" priority="10" operator="beginsWith" text="Not Fully Successful">
      <formula>LEFT(L2,LEN("Not Fully Successful"))="Not Fully Successful"</formula>
    </cfRule>
    <cfRule type="containsText" dxfId="326" priority="8" operator="containsText" text="Exceptional">
      <formula>NOT(ISERROR(SEARCH("Exceptional",L2)))</formula>
    </cfRule>
    <cfRule type="containsText" dxfId="325" priority="7" operator="containsText" text="Not Fulfilled">
      <formula>NOT(ISERROR(SEARCH("Not Fulfilled",L2)))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78" operator="lessThanOrEqual" id="{3CD276EC-7DAA-4C88-ADC1-32C833D9C7AC}">
            <xm:f>SetUp!C7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14:cfRule type="cellIs" priority="79" operator="greaterThan" id="{7A7F57D1-6830-4C2C-BADC-36394419A71E}">
            <xm:f>SetUp!C7</xm:f>
            <x14:dxf>
              <font>
                <color auto="1"/>
              </font>
              <fill>
                <patternFill>
                  <bgColor rgb="FFFF0000"/>
                </patternFill>
              </fill>
            </x14:dxf>
          </x14:cfRule>
          <x14:cfRule type="cellIs" priority="77" operator="lessThanOrEqual" id="{6DBC6101-F62C-476A-9E09-33DB3F532934}">
            <xm:f>SetUp!D7</xm:f>
            <x14:dxf>
              <font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m:sqref>C3</xm:sqref>
        </x14:conditionalFormatting>
        <x14:conditionalFormatting xmlns:xm="http://schemas.microsoft.com/office/excel/2006/main">
          <x14:cfRule type="cellIs" priority="76" operator="lessThan" id="{37F1FFD8-9E4A-4FE3-9A9B-25C47C1F1F35}">
            <xm:f>SetUp!C8</xm:f>
            <x14:dxf>
              <font>
                <color auto="1"/>
              </font>
              <fill>
                <patternFill>
                  <bgColor rgb="FFFF0000"/>
                </patternFill>
              </fill>
            </x14:dxf>
          </x14:cfRule>
          <x14:cfRule type="cellIs" priority="75" operator="greaterThanOrEqual" id="{C5CA7D18-4E29-432C-B9BD-1A54B00BBD7F}">
            <xm:f>SetUp!C8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14:cfRule type="cellIs" priority="74" stopIfTrue="1" operator="greaterThanOrEqual" id="{C55DBD31-6311-4E4C-B5F4-05424DB58139}">
            <xm:f>SetUp!D8</xm:f>
            <x14:dxf>
              <font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m:sqref>C4</xm:sqref>
        </x14:conditionalFormatting>
        <x14:conditionalFormatting xmlns:xm="http://schemas.microsoft.com/office/excel/2006/main">
          <x14:cfRule type="cellIs" priority="73" operator="lessThan" id="{2BF83FC2-0601-45C7-AF92-40A96A0621FD}">
            <xm:f>SetUp!C12</xm:f>
            <x14:dxf>
              <font>
                <color theme="1"/>
              </font>
              <fill>
                <patternFill>
                  <bgColor theme="7" tint="0.79998168889431442"/>
                </patternFill>
              </fill>
            </x14:dxf>
          </x14:cfRule>
          <xm:sqref>C5</xm:sqref>
        </x14:conditionalFormatting>
        <x14:conditionalFormatting xmlns:xm="http://schemas.microsoft.com/office/excel/2006/main">
          <x14:cfRule type="cellIs" priority="13" operator="greaterThanOrEqual" id="{0FA16F20-3CD5-4A9F-8CC3-747908E7C9E2}">
            <xm:f>SetUp!C12</xm:f>
            <x14:dxf>
              <font>
                <color theme="0"/>
              </font>
              <fill>
                <patternFill>
                  <bgColor theme="7" tint="-0.24994659260841701"/>
                </patternFill>
              </fill>
            </x14:dxf>
          </x14:cfRule>
          <xm:sqref>C5:C7</xm:sqref>
        </x14:conditionalFormatting>
        <x14:conditionalFormatting xmlns:xm="http://schemas.microsoft.com/office/excel/2006/main">
          <x14:cfRule type="cellIs" priority="38" operator="lessThan" id="{9A82286E-857D-46BD-A7CF-5A2B8B96CFAA}">
            <xm:f>SetUp!C13</xm:f>
            <x14:dxf>
              <fill>
                <patternFill>
                  <bgColor theme="7" tint="0.79998168889431442"/>
                </patternFill>
              </fill>
            </x14:dxf>
          </x14:cfRule>
          <xm:sqref>C6:C7</xm:sqref>
        </x14:conditionalFormatting>
        <x14:conditionalFormatting xmlns:xm="http://schemas.microsoft.com/office/excel/2006/main">
          <x14:cfRule type="cellIs" priority="70" stopIfTrue="1" operator="greaterThanOrEqual" id="{76266878-D03F-4594-8392-4DF351C01FA0}">
            <xm:f>SetUp!F7</xm:f>
            <x14:dxf>
              <font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ellIs" priority="72" operator="lessThan" id="{7D4EEEB4-F945-4240-91F5-F3B301352CF4}">
            <xm:f>SetUp!E7</xm:f>
            <x14:dxf>
              <fill>
                <patternFill>
                  <bgColor rgb="FFFF0000"/>
                </patternFill>
              </fill>
            </x14:dxf>
          </x14:cfRule>
          <x14:cfRule type="cellIs" priority="71" operator="greaterThanOrEqual" id="{AFF60D8F-7516-4A87-87A1-DE5BCE98AE2B}">
            <xm:f>SetUp!E7</xm:f>
            <x14:dxf>
              <fill>
                <patternFill>
                  <bgColor theme="9" tint="0.79998168889431442"/>
                </patternFill>
              </fill>
            </x14:dxf>
          </x14:cfRule>
          <xm:sqref>D3 D5</xm:sqref>
        </x14:conditionalFormatting>
        <x14:conditionalFormatting xmlns:xm="http://schemas.microsoft.com/office/excel/2006/main">
          <x14:cfRule type="cellIs" priority="67" operator="greaterThan" id="{BC0CDF64-A54B-4615-9A7B-1498A6FCF5AA}">
            <xm:f>SetUp!E8</xm:f>
            <x14:dxf>
              <fill>
                <patternFill>
                  <bgColor rgb="FFFF0000"/>
                </patternFill>
              </fill>
            </x14:dxf>
          </x14:cfRule>
          <x14:cfRule type="cellIs" priority="68" stopIfTrue="1" operator="lessThanOrEqual" id="{0A94C40A-DAB4-4AA5-B991-9DBC3B12C608}">
            <xm:f>SetUp!F8</xm:f>
            <x14:dxf>
              <font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ellIs" priority="69" operator="lessThanOrEqual" id="{842F2327-2FBA-42BF-A7EA-8B35F5843897}">
            <xm:f>SetUp!E8</xm:f>
            <x14:dxf>
              <fill>
                <patternFill>
                  <bgColor theme="9" tint="0.79998168889431442"/>
                </patternFill>
              </fill>
            </x14:dxf>
          </x14:cfRule>
          <xm:sqref>D4</xm:sqref>
        </x14:conditionalFormatting>
        <x14:conditionalFormatting xmlns:xm="http://schemas.microsoft.com/office/excel/2006/main">
          <x14:cfRule type="cellIs" priority="41" operator="lessThan" id="{18521845-5D44-4398-873A-359D52A59E01}">
            <xm:f>SetUp!E13</xm:f>
            <x14:dxf>
              <fill>
                <patternFill>
                  <bgColor theme="7" tint="0.79998168889431442"/>
                </patternFill>
              </fill>
            </x14:dxf>
          </x14:cfRule>
          <x14:cfRule type="cellIs" priority="42" operator="greaterThanOrEqual" id="{E6D818C5-EBE2-47D4-BCE4-64ED301F7D1B}">
            <xm:f>SetUp!E13</xm:f>
            <x14:dxf>
              <font>
                <color theme="0"/>
              </font>
              <fill>
                <patternFill>
                  <bgColor theme="7" tint="-0.24994659260841701"/>
                </patternFill>
              </fill>
            </x14:dxf>
          </x14:cfRule>
          <xm:sqref>D6</xm:sqref>
        </x14:conditionalFormatting>
        <x14:conditionalFormatting xmlns:xm="http://schemas.microsoft.com/office/excel/2006/main">
          <x14:cfRule type="cellIs" priority="36" operator="greaterThanOrEqual" id="{A4CAA713-A9C7-4192-B174-202DA4665256}">
            <xm:f>SetUp!$E$14</xm:f>
            <x14:dxf>
              <font>
                <color theme="0"/>
              </font>
              <fill>
                <patternFill>
                  <bgColor theme="7" tint="-0.24994659260841701"/>
                </patternFill>
              </fill>
            </x14:dxf>
          </x14:cfRule>
          <x14:cfRule type="cellIs" priority="37" operator="lessThan" id="{51229E0A-2BF2-4FC9-A07D-74E65B96E55F}">
            <xm:f>SetUp!$E$14</xm:f>
            <x14:dxf>
              <fill>
                <patternFill>
                  <bgColor theme="7" tint="0.79998168889431442"/>
                </patternFill>
              </fill>
            </x14:dxf>
          </x14:cfRule>
          <xm:sqref>D7</xm:sqref>
        </x14:conditionalFormatting>
        <x14:conditionalFormatting xmlns:xm="http://schemas.microsoft.com/office/excel/2006/main">
          <x14:cfRule type="cellIs" priority="62" operator="greaterThanOrEqual" id="{CF4E79B8-9687-4BA6-A247-F74EC5A3384C}">
            <xm:f>SetUp!G7</xm:f>
            <x14:dxf>
              <fill>
                <patternFill>
                  <bgColor theme="9" tint="0.79998168889431442"/>
                </patternFill>
              </fill>
            </x14:dxf>
          </x14:cfRule>
          <x14:cfRule type="cellIs" priority="61" stopIfTrue="1" operator="greaterThanOrEqual" id="{39F206C4-05A4-4597-B0A3-AC62E9E71018}">
            <xm:f>SetUp!H7</xm:f>
            <x14:dxf>
              <font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ellIs" priority="60" operator="lessThan" id="{6E3CF029-69FE-4210-A84F-43F6AC387DDE}">
            <xm:f>SetUp!G7</xm:f>
            <x14:dxf>
              <fill>
                <patternFill>
                  <bgColor rgb="FFFF0000"/>
                </patternFill>
              </fill>
            </x14:dxf>
          </x14:cfRule>
          <xm:sqref>E3</xm:sqref>
        </x14:conditionalFormatting>
        <x14:conditionalFormatting xmlns:xm="http://schemas.microsoft.com/office/excel/2006/main">
          <x14:cfRule type="cellIs" priority="54" operator="lessThanOrEqual" id="{D95A3636-B68D-4B79-BFF6-9E5BE5465AA2}">
            <xm:f>SetUp!G8</xm:f>
            <x14:dxf>
              <fill>
                <patternFill>
                  <bgColor theme="9" tint="0.79998168889431442"/>
                </patternFill>
              </fill>
            </x14:dxf>
          </x14:cfRule>
          <x14:cfRule type="cellIs" priority="53" operator="lessThanOrEqual" id="{4CF378D2-7EAA-4D71-84B7-DF592676E1B3}">
            <xm:f>SetUp!H8</xm:f>
            <x14:dxf>
              <font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ellIs" priority="52" operator="greaterThan" id="{8CA5AC54-2C7A-4385-9281-E59BBA0AF087}">
            <xm:f>SetUp!G8</xm:f>
            <x14:dxf>
              <fill>
                <patternFill>
                  <bgColor rgb="FFFF0000"/>
                </patternFill>
              </fill>
            </x14:dxf>
          </x14:cfRule>
          <xm:sqref>E4</xm:sqref>
        </x14:conditionalFormatting>
        <x14:conditionalFormatting xmlns:xm="http://schemas.microsoft.com/office/excel/2006/main">
          <x14:cfRule type="cellIs" priority="40" operator="greaterThanOrEqual" id="{60E04A92-7FF8-4F51-9A0C-635120634C8E}">
            <xm:f>SetUp!G12</xm:f>
            <x14:dxf>
              <font>
                <color theme="0"/>
              </font>
              <fill>
                <patternFill>
                  <bgColor theme="7" tint="-0.24994659260841701"/>
                </patternFill>
              </fill>
            </x14:dxf>
          </x14:cfRule>
          <x14:cfRule type="cellIs" priority="51" operator="lessThan" id="{DF59E7DD-3A73-4F87-B4C3-4F9DCA36632B}">
            <xm:f>SetUp!G12</xm:f>
            <x14:dxf>
              <fill>
                <patternFill>
                  <bgColor theme="7" tint="0.79998168889431442"/>
                </patternFill>
              </fill>
            </x14:dxf>
          </x14:cfRule>
          <xm:sqref>E5</xm:sqref>
        </x14:conditionalFormatting>
        <x14:conditionalFormatting xmlns:xm="http://schemas.microsoft.com/office/excel/2006/main">
          <x14:cfRule type="cellIs" priority="12" operator="lessThan" id="{F9B3700E-5D2C-4B06-981E-D6B804AE755D}">
            <xm:f>SetUp!$G$13</xm:f>
            <x14:dxf>
              <fill>
                <patternFill>
                  <bgColor theme="7" tint="0.79998168889431442"/>
                </patternFill>
              </fill>
            </x14:dxf>
          </x14:cfRule>
          <x14:cfRule type="cellIs" priority="11" operator="greaterThanOrEqual" id="{C48718C1-22F7-4F65-BD8A-B1AA692E10F3}">
            <xm:f>SetUp!$G$13</xm:f>
            <x14:dxf>
              <font>
                <color theme="0"/>
              </font>
              <fill>
                <patternFill>
                  <bgColor theme="7" tint="-0.24994659260841701"/>
                </patternFill>
              </fill>
            </x14:dxf>
          </x14:cfRule>
          <xm:sqref>E6</xm:sqref>
        </x14:conditionalFormatting>
        <x14:conditionalFormatting xmlns:xm="http://schemas.microsoft.com/office/excel/2006/main">
          <x14:cfRule type="cellIs" priority="47" operator="lessThan" id="{17D9F370-2528-449F-A8FC-503ADD26C096}">
            <xm:f>SetUp!I7</xm:f>
            <x14:dxf>
              <fill>
                <patternFill>
                  <bgColor rgb="FFFF0000"/>
                </patternFill>
              </fill>
            </x14:dxf>
          </x14:cfRule>
          <x14:cfRule type="cellIs" priority="49" operator="greaterThanOrEqual" id="{00913D88-0D0E-4EC5-8B5A-151E2345A37B}">
            <xm:f>SetUp!I7</xm:f>
            <x14:dxf>
              <fill>
                <patternFill>
                  <bgColor theme="9" tint="0.79998168889431442"/>
                </patternFill>
              </fill>
            </x14:dxf>
          </x14:cfRule>
          <x14:cfRule type="cellIs" priority="48" operator="equal" id="{24F648F7-4FC6-4D77-A9FF-BBF1CE7057A5}">
            <xm:f>SetUp!J7</xm:f>
            <x14:dxf>
              <font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m:sqref>F3</xm:sqref>
        </x14:conditionalFormatting>
        <x14:conditionalFormatting xmlns:xm="http://schemas.microsoft.com/office/excel/2006/main">
          <x14:cfRule type="cellIs" priority="46" operator="greaterThan" id="{43F8E6DC-B4EC-456E-827F-15A600FA7342}">
            <xm:f>SetUp!I11</xm:f>
            <x14:dxf>
              <fill>
                <patternFill>
                  <bgColor theme="7" tint="0.79998168889431442"/>
                </patternFill>
              </fill>
            </x14:dxf>
          </x14:cfRule>
          <x14:cfRule type="cellIs" priority="45" operator="lessThanOrEqual" id="{3142DCE7-AA3C-4922-8B44-F26084052439}">
            <xm:f>SetUp!I11</xm:f>
            <x14:dxf>
              <font>
                <color theme="0"/>
              </font>
              <fill>
                <patternFill>
                  <bgColor theme="7" tint="-0.24994659260841701"/>
                </patternFill>
              </fill>
            </x14:dxf>
          </x14:cfRule>
          <xm:sqref>F4</xm:sqref>
        </x14:conditionalFormatting>
        <x14:conditionalFormatting xmlns:xm="http://schemas.microsoft.com/office/excel/2006/main">
          <x14:cfRule type="cellIs" priority="34" operator="lessThan" id="{E6279A40-BF36-4500-93B7-9527A6C26FEB}">
            <xm:f>SetUp!$I$12</xm:f>
            <x14:dxf>
              <fill>
                <patternFill>
                  <bgColor theme="7" tint="0.79998168889431442"/>
                </patternFill>
              </fill>
            </x14:dxf>
          </x14:cfRule>
          <x14:cfRule type="cellIs" priority="35" operator="greaterThanOrEqual" id="{F85E8D83-0308-4E79-904C-FB6A9C7E1C61}">
            <xm:f>SetUp!$I$12</xm:f>
            <x14:dxf>
              <font>
                <color theme="0"/>
              </font>
              <fill>
                <patternFill>
                  <bgColor theme="7" tint="-0.24994659260841701"/>
                </patternFill>
              </fill>
            </x14:dxf>
          </x14:cfRule>
          <xm:sqref>F5</xm:sqref>
        </x14:conditionalFormatting>
        <x14:conditionalFormatting xmlns:xm="http://schemas.microsoft.com/office/excel/2006/main">
          <x14:cfRule type="cellIs" priority="33" operator="greaterThanOrEqual" id="{9404B814-5D33-49BA-B1A4-6F245FD1542F}">
            <xm:f>SetUp!$I$13</xm:f>
            <x14:dxf>
              <font>
                <color theme="0"/>
              </font>
              <fill>
                <patternFill>
                  <bgColor theme="7" tint="-0.24994659260841701"/>
                </patternFill>
              </fill>
            </x14:dxf>
          </x14:cfRule>
          <x14:cfRule type="cellIs" priority="32" operator="lessThan" id="{D44BC7CA-C096-4D7F-A9BE-1CA28E9E4D83}">
            <xm:f>SetUp!$I$13</xm:f>
            <x14:dxf>
              <fill>
                <patternFill>
                  <bgColor theme="7" tint="0.79998168889431442"/>
                </patternFill>
              </fill>
            </x14:dxf>
          </x14:cfRule>
          <xm:sqref>F6</xm:sqref>
        </x14:conditionalFormatting>
        <x14:conditionalFormatting xmlns:xm="http://schemas.microsoft.com/office/excel/2006/main">
          <x14:cfRule type="cellIs" priority="31" operator="greaterThanOrEqual" id="{A47D5C61-B142-4EBB-9B4A-93044A6CA607}">
            <xm:f>SetUp!$I$14</xm:f>
            <x14:dxf>
              <font>
                <color theme="0"/>
              </font>
              <fill>
                <patternFill>
                  <bgColor theme="7" tint="-0.24994659260841701"/>
                </patternFill>
              </fill>
            </x14:dxf>
          </x14:cfRule>
          <x14:cfRule type="cellIs" priority="30" operator="lessThan" id="{A91833C3-2AD9-484B-B5C2-A316669951E7}">
            <xm:f>SetUp!$I$14</xm:f>
            <x14:dxf>
              <fill>
                <patternFill>
                  <bgColor theme="7" tint="0.79998168889431442"/>
                </patternFill>
              </fill>
            </x14:dxf>
          </x14:cfRule>
          <xm:sqref>F7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7EC32-BB00-4463-B685-C4EA6E53676E}">
  <dimension ref="A1:W60"/>
  <sheetViews>
    <sheetView workbookViewId="0">
      <selection activeCell="H4" sqref="H4"/>
    </sheetView>
  </sheetViews>
  <sheetFormatPr defaultColWidth="12" defaultRowHeight="14.5" x14ac:dyDescent="0.35"/>
  <cols>
    <col min="1" max="1" width="4.1796875" style="13" customWidth="1"/>
    <col min="2" max="2" width="12.81640625" style="13" bestFit="1" customWidth="1"/>
    <col min="3" max="5" width="15.54296875" style="13" bestFit="1" customWidth="1"/>
    <col min="6" max="6" width="14.81640625" style="13" customWidth="1"/>
    <col min="7" max="7" width="7.81640625" style="13" bestFit="1" customWidth="1"/>
    <col min="8" max="8" width="6.1796875" style="13" bestFit="1" customWidth="1"/>
    <col min="9" max="9" width="15.54296875" style="13" bestFit="1" customWidth="1"/>
    <col min="10" max="10" width="6.7265625" style="13" bestFit="1" customWidth="1"/>
    <col min="11" max="11" width="14.1796875" style="13" customWidth="1"/>
    <col min="12" max="12" width="14.453125" style="13" customWidth="1"/>
    <col min="13" max="13" width="13.7265625" style="13" customWidth="1"/>
    <col min="14" max="14" width="15.54296875" style="13" customWidth="1"/>
    <col min="15" max="15" width="13.7265625" style="13" customWidth="1"/>
    <col min="16" max="16" width="14.453125" style="13" customWidth="1"/>
    <col min="17" max="17" width="12" style="13" customWidth="1"/>
    <col min="18" max="18" width="15.1796875" style="13" customWidth="1"/>
    <col min="19" max="19" width="12.81640625" style="13" customWidth="1"/>
    <col min="20" max="20" width="10.7265625" style="13" bestFit="1" customWidth="1"/>
    <col min="21" max="21" width="14.26953125" style="13" customWidth="1"/>
    <col min="22" max="22" width="4.453125" style="13" customWidth="1"/>
    <col min="23" max="16384" width="12" style="13"/>
  </cols>
  <sheetData>
    <row r="1" spans="1:23" ht="15" thickBot="1" x14ac:dyDescent="0.4">
      <c r="A1" s="34"/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</row>
    <row r="2" spans="1:23" ht="59" thickTop="1" thickBot="1" x14ac:dyDescent="0.4">
      <c r="A2" s="34"/>
      <c r="B2" s="12"/>
      <c r="C2" s="41" t="s">
        <v>43</v>
      </c>
      <c r="D2" s="42" t="s">
        <v>44</v>
      </c>
      <c r="E2" s="42" t="s">
        <v>45</v>
      </c>
      <c r="F2" s="43" t="s">
        <v>3</v>
      </c>
      <c r="G2" s="34"/>
      <c r="H2" s="133" t="s">
        <v>11</v>
      </c>
      <c r="I2" s="134"/>
      <c r="J2" s="34"/>
      <c r="K2" s="14" t="s">
        <v>21</v>
      </c>
      <c r="L2" s="46" t="s">
        <v>186</v>
      </c>
      <c r="M2" s="97" t="s">
        <v>187</v>
      </c>
      <c r="N2" s="97" t="s">
        <v>189</v>
      </c>
      <c r="O2" s="28" t="s">
        <v>190</v>
      </c>
      <c r="P2" s="97" t="s">
        <v>191</v>
      </c>
      <c r="Q2" s="28" t="s">
        <v>194</v>
      </c>
      <c r="R2" s="28" t="s">
        <v>195</v>
      </c>
      <c r="S2" s="28" t="s">
        <v>198</v>
      </c>
      <c r="T2" s="29" t="s">
        <v>25</v>
      </c>
      <c r="U2" s="34"/>
      <c r="V2" s="34"/>
      <c r="W2" s="34"/>
    </row>
    <row r="3" spans="1:23" ht="15" thickTop="1" x14ac:dyDescent="0.35">
      <c r="A3" s="34"/>
      <c r="B3" s="15" t="s">
        <v>4</v>
      </c>
      <c r="C3" s="60">
        <f>L16</f>
        <v>0</v>
      </c>
      <c r="D3" s="61">
        <f>N16</f>
        <v>100</v>
      </c>
      <c r="E3" s="61">
        <f>Q16</f>
        <v>3.1099590373783919</v>
      </c>
      <c r="F3" s="62">
        <f>S16</f>
        <v>100</v>
      </c>
      <c r="G3" s="39"/>
      <c r="H3" s="16"/>
      <c r="I3" s="17" t="s">
        <v>41</v>
      </c>
      <c r="J3" s="34"/>
      <c r="K3" s="45">
        <v>10</v>
      </c>
      <c r="L3" s="47">
        <v>0</v>
      </c>
      <c r="M3" s="48">
        <v>0</v>
      </c>
      <c r="N3" s="48">
        <v>0</v>
      </c>
      <c r="O3" s="48">
        <v>2</v>
      </c>
      <c r="P3" s="48">
        <v>0</v>
      </c>
      <c r="Q3" s="48">
        <v>387</v>
      </c>
      <c r="R3" s="48">
        <v>0</v>
      </c>
      <c r="S3" s="48">
        <v>0</v>
      </c>
      <c r="T3" s="49">
        <v>10</v>
      </c>
      <c r="U3" s="34"/>
      <c r="V3" s="34"/>
      <c r="W3" s="34"/>
    </row>
    <row r="4" spans="1:23" ht="15" thickBot="1" x14ac:dyDescent="0.4">
      <c r="A4" s="34"/>
      <c r="B4" s="15" t="s">
        <v>5</v>
      </c>
      <c r="C4" s="73">
        <f>M16</f>
        <v>100</v>
      </c>
      <c r="D4" s="61">
        <f>O16</f>
        <v>0.30870549495781024</v>
      </c>
      <c r="E4" s="74">
        <f>R15</f>
        <v>0</v>
      </c>
      <c r="F4" s="72">
        <f>R34</f>
        <v>0</v>
      </c>
      <c r="G4" s="34"/>
      <c r="H4" s="16"/>
      <c r="I4" s="17" t="s">
        <v>42</v>
      </c>
      <c r="J4" s="34"/>
      <c r="K4" s="18">
        <v>11</v>
      </c>
      <c r="L4" s="50">
        <v>0</v>
      </c>
      <c r="M4" s="51">
        <v>0</v>
      </c>
      <c r="N4" s="51">
        <v>0</v>
      </c>
      <c r="O4" s="51">
        <v>0</v>
      </c>
      <c r="P4" s="51">
        <v>0</v>
      </c>
      <c r="Q4" s="51">
        <v>455</v>
      </c>
      <c r="R4" s="51">
        <v>0</v>
      </c>
      <c r="S4" s="51">
        <v>0</v>
      </c>
      <c r="T4" s="52">
        <v>1</v>
      </c>
      <c r="U4" s="34"/>
      <c r="V4" s="34"/>
      <c r="W4" s="34"/>
    </row>
    <row r="5" spans="1:23" ht="15.5" thickTop="1" thickBot="1" x14ac:dyDescent="0.4">
      <c r="A5" s="34"/>
      <c r="B5" s="15" t="s">
        <v>6</v>
      </c>
      <c r="C5" s="69">
        <f>K34</f>
        <v>1</v>
      </c>
      <c r="D5" s="74">
        <f>P16</f>
        <v>100</v>
      </c>
      <c r="E5" s="70">
        <f>P34</f>
        <v>3</v>
      </c>
      <c r="F5" s="71">
        <f>S34</f>
        <v>0</v>
      </c>
      <c r="G5" s="34"/>
      <c r="H5" s="16"/>
      <c r="I5" s="17" t="s">
        <v>9</v>
      </c>
      <c r="J5" s="34"/>
      <c r="K5" s="18">
        <v>12</v>
      </c>
      <c r="L5" s="50">
        <v>0</v>
      </c>
      <c r="M5" s="51">
        <v>0</v>
      </c>
      <c r="N5" s="51">
        <v>0</v>
      </c>
      <c r="O5" s="51">
        <v>1</v>
      </c>
      <c r="P5" s="51">
        <v>0</v>
      </c>
      <c r="Q5" s="51">
        <v>449</v>
      </c>
      <c r="R5" s="51">
        <v>0</v>
      </c>
      <c r="S5" s="51">
        <v>0</v>
      </c>
      <c r="T5" s="52">
        <v>3</v>
      </c>
      <c r="U5" s="34"/>
      <c r="V5" s="34"/>
      <c r="W5" s="34"/>
    </row>
    <row r="6" spans="1:23" ht="15" thickTop="1" x14ac:dyDescent="0.35">
      <c r="A6" s="34"/>
      <c r="B6" s="15" t="s">
        <v>7</v>
      </c>
      <c r="C6" s="63">
        <f>L34</f>
        <v>15</v>
      </c>
      <c r="D6" s="70">
        <f>N34</f>
        <v>1</v>
      </c>
      <c r="E6" s="64">
        <f>Q34</f>
        <v>4</v>
      </c>
      <c r="F6" s="65">
        <f>T34</f>
        <v>0</v>
      </c>
      <c r="G6" s="34"/>
      <c r="H6" s="16"/>
      <c r="I6" s="17" t="s">
        <v>10</v>
      </c>
      <c r="J6" s="34"/>
      <c r="K6" s="18">
        <v>1</v>
      </c>
      <c r="L6" s="50">
        <v>0</v>
      </c>
      <c r="M6" s="51">
        <v>0</v>
      </c>
      <c r="N6" s="51">
        <v>0</v>
      </c>
      <c r="O6" s="51">
        <v>1</v>
      </c>
      <c r="P6" s="51">
        <v>0</v>
      </c>
      <c r="Q6" s="51">
        <v>315</v>
      </c>
      <c r="R6" s="51">
        <v>0</v>
      </c>
      <c r="S6" s="51">
        <v>0</v>
      </c>
      <c r="T6" s="52">
        <v>3</v>
      </c>
      <c r="U6" s="34"/>
      <c r="V6" s="34"/>
      <c r="W6" s="34"/>
    </row>
    <row r="7" spans="1:23" ht="15" thickBot="1" x14ac:dyDescent="0.4">
      <c r="A7" s="34"/>
      <c r="B7" s="19" t="s">
        <v>8</v>
      </c>
      <c r="C7" s="66">
        <f>M34</f>
        <v>1</v>
      </c>
      <c r="D7" s="67">
        <f>O34</f>
        <v>3</v>
      </c>
      <c r="E7" s="67"/>
      <c r="F7" s="68">
        <f>U34</f>
        <v>1</v>
      </c>
      <c r="G7" s="34"/>
      <c r="H7" s="16"/>
      <c r="I7" s="17" t="s">
        <v>14</v>
      </c>
      <c r="J7" s="34"/>
      <c r="K7" s="18">
        <v>2</v>
      </c>
      <c r="L7" s="50">
        <v>0</v>
      </c>
      <c r="M7" s="51">
        <v>0</v>
      </c>
      <c r="N7" s="51">
        <v>0</v>
      </c>
      <c r="O7" s="51">
        <v>2</v>
      </c>
      <c r="P7" s="51">
        <v>0</v>
      </c>
      <c r="Q7" s="131">
        <v>328</v>
      </c>
      <c r="R7" s="51">
        <v>0</v>
      </c>
      <c r="S7" s="51">
        <v>0</v>
      </c>
      <c r="T7" s="52">
        <v>1</v>
      </c>
      <c r="U7" s="34"/>
      <c r="V7" s="34"/>
      <c r="W7" s="34"/>
    </row>
    <row r="8" spans="1:23" ht="20.25" customHeight="1" thickTop="1" thickBot="1" x14ac:dyDescent="0.4">
      <c r="A8" s="34"/>
      <c r="B8" s="20" t="s">
        <v>12</v>
      </c>
      <c r="C8" s="21" t="str">
        <f>K42</f>
        <v>Exceptional</v>
      </c>
      <c r="D8" s="21" t="str">
        <f>L42</f>
        <v>Exceptional</v>
      </c>
      <c r="E8" s="21" t="str">
        <f>M42</f>
        <v>Exceptional</v>
      </c>
      <c r="F8" s="21" t="str">
        <f>N42</f>
        <v>Exceptional</v>
      </c>
      <c r="G8" s="34"/>
      <c r="H8" s="22"/>
      <c r="I8" s="23" t="s">
        <v>13</v>
      </c>
      <c r="J8" s="34"/>
      <c r="K8" s="18">
        <v>3</v>
      </c>
      <c r="L8" s="50">
        <v>0</v>
      </c>
      <c r="M8" s="51">
        <v>0</v>
      </c>
      <c r="N8" s="51">
        <v>0</v>
      </c>
      <c r="O8" s="51">
        <v>0</v>
      </c>
      <c r="P8" s="51">
        <v>0</v>
      </c>
      <c r="Q8" s="51">
        <v>420</v>
      </c>
      <c r="R8" s="51">
        <v>0</v>
      </c>
      <c r="S8" s="51">
        <v>0</v>
      </c>
      <c r="T8" s="52">
        <v>2</v>
      </c>
      <c r="U8" s="34"/>
      <c r="V8" s="34"/>
      <c r="W8" s="34"/>
    </row>
    <row r="9" spans="1:23" ht="15" thickTop="1" x14ac:dyDescent="0.35">
      <c r="A9" s="34"/>
      <c r="B9" s="135" t="s">
        <v>31</v>
      </c>
      <c r="C9" s="137" t="str">
        <f>N44</f>
        <v>OutStanding</v>
      </c>
      <c r="D9" s="138"/>
      <c r="E9" s="138"/>
      <c r="F9" s="139"/>
      <c r="G9" s="34"/>
      <c r="H9" s="22"/>
      <c r="I9" s="23" t="s">
        <v>40</v>
      </c>
      <c r="J9" s="34"/>
      <c r="K9" s="18">
        <v>4</v>
      </c>
      <c r="L9" s="50">
        <v>0</v>
      </c>
      <c r="M9" s="51">
        <v>0</v>
      </c>
      <c r="N9" s="51">
        <v>0</v>
      </c>
      <c r="O9" s="51">
        <v>0</v>
      </c>
      <c r="P9" s="51">
        <v>0</v>
      </c>
      <c r="Q9" s="51">
        <v>381</v>
      </c>
      <c r="R9" s="51">
        <v>0</v>
      </c>
      <c r="S9" s="51">
        <v>0</v>
      </c>
      <c r="T9" s="52">
        <v>1</v>
      </c>
      <c r="U9" s="34"/>
      <c r="V9" s="34"/>
      <c r="W9" s="34"/>
    </row>
    <row r="10" spans="1:23" ht="15" thickBot="1" x14ac:dyDescent="0.4">
      <c r="A10" s="34"/>
      <c r="B10" s="136"/>
      <c r="C10" s="140"/>
      <c r="D10" s="141"/>
      <c r="E10" s="141"/>
      <c r="F10" s="142"/>
      <c r="G10" s="34"/>
      <c r="H10" s="24" t="s">
        <v>46</v>
      </c>
      <c r="I10" s="25" t="s">
        <v>47</v>
      </c>
      <c r="J10" s="34"/>
      <c r="K10" s="18">
        <v>5</v>
      </c>
      <c r="L10" s="50">
        <v>0</v>
      </c>
      <c r="M10" s="51">
        <v>0</v>
      </c>
      <c r="N10" s="51">
        <v>0</v>
      </c>
      <c r="O10" s="51">
        <v>3</v>
      </c>
      <c r="P10" s="51">
        <v>0</v>
      </c>
      <c r="Q10" s="51">
        <v>302</v>
      </c>
      <c r="R10" s="51">
        <v>0</v>
      </c>
      <c r="S10" s="51"/>
      <c r="T10" s="52"/>
      <c r="U10" s="34"/>
      <c r="V10" s="34"/>
      <c r="W10" s="34"/>
    </row>
    <row r="11" spans="1:23" s="26" customFormat="1" ht="15.5" thickTop="1" thickBot="1" x14ac:dyDescent="0.4">
      <c r="A11" s="34"/>
      <c r="B11" s="34"/>
      <c r="C11" s="40"/>
      <c r="D11" s="40"/>
      <c r="E11" s="40"/>
      <c r="F11" s="40"/>
      <c r="G11" s="34"/>
      <c r="H11" s="34"/>
      <c r="I11" s="34"/>
      <c r="J11" s="34"/>
      <c r="K11" s="18">
        <v>6</v>
      </c>
      <c r="L11" s="50">
        <v>0</v>
      </c>
      <c r="M11" s="51">
        <v>0</v>
      </c>
      <c r="N11" s="51">
        <v>0</v>
      </c>
      <c r="O11" s="51">
        <v>0</v>
      </c>
      <c r="P11" s="51">
        <v>0</v>
      </c>
      <c r="Q11" s="51">
        <v>975</v>
      </c>
      <c r="R11" s="51">
        <v>0</v>
      </c>
      <c r="S11" s="51"/>
      <c r="T11" s="52"/>
      <c r="U11" s="34"/>
      <c r="V11" s="34"/>
      <c r="W11" s="34"/>
    </row>
    <row r="12" spans="1:23" ht="15.5" thickTop="1" thickBot="1" x14ac:dyDescent="0.4">
      <c r="A12" s="34"/>
      <c r="B12" s="14" t="s">
        <v>22</v>
      </c>
      <c r="C12" s="27" t="s">
        <v>15</v>
      </c>
      <c r="D12" s="28" t="s">
        <v>16</v>
      </c>
      <c r="E12" s="28" t="s">
        <v>17</v>
      </c>
      <c r="F12" s="28" t="s">
        <v>18</v>
      </c>
      <c r="G12" s="28" t="s">
        <v>19</v>
      </c>
      <c r="H12" s="29" t="s">
        <v>20</v>
      </c>
      <c r="I12" s="34"/>
      <c r="J12" s="34"/>
      <c r="K12" s="18">
        <v>7</v>
      </c>
      <c r="L12" s="50">
        <v>0</v>
      </c>
      <c r="M12" s="51">
        <v>0</v>
      </c>
      <c r="N12" s="51">
        <v>0</v>
      </c>
      <c r="O12" s="51">
        <v>6</v>
      </c>
      <c r="P12" s="51">
        <v>0</v>
      </c>
      <c r="Q12" s="51">
        <v>847</v>
      </c>
      <c r="R12" s="51">
        <v>0</v>
      </c>
      <c r="S12" s="51"/>
      <c r="T12" s="52"/>
      <c r="U12" s="34"/>
      <c r="V12" s="34"/>
      <c r="W12" s="34"/>
    </row>
    <row r="13" spans="1:23" ht="15" thickTop="1" x14ac:dyDescent="0.35">
      <c r="A13" s="34"/>
      <c r="B13" s="12">
        <v>20</v>
      </c>
      <c r="C13" s="47">
        <v>71.5</v>
      </c>
      <c r="D13" s="48">
        <v>0.5</v>
      </c>
      <c r="E13" s="48">
        <v>0.5</v>
      </c>
      <c r="F13" s="48">
        <v>0</v>
      </c>
      <c r="G13" s="48">
        <v>8</v>
      </c>
      <c r="H13" s="49">
        <v>0</v>
      </c>
      <c r="I13" s="34"/>
      <c r="J13" s="34"/>
      <c r="K13" s="18">
        <v>8</v>
      </c>
      <c r="L13" s="50"/>
      <c r="M13" s="51"/>
      <c r="N13" s="51"/>
      <c r="O13" s="51"/>
      <c r="P13" s="51"/>
      <c r="Q13" s="51"/>
      <c r="R13" s="51"/>
      <c r="S13" s="51"/>
      <c r="T13" s="52"/>
      <c r="U13" s="34"/>
      <c r="V13" s="34"/>
      <c r="W13" s="34"/>
    </row>
    <row r="14" spans="1:23" ht="15" thickBot="1" x14ac:dyDescent="0.4">
      <c r="A14" s="34"/>
      <c r="B14" s="30">
        <v>21</v>
      </c>
      <c r="C14" s="50">
        <v>79.5</v>
      </c>
      <c r="D14" s="51">
        <v>0.5</v>
      </c>
      <c r="E14" s="51">
        <v>0</v>
      </c>
      <c r="F14" s="51">
        <v>0.5</v>
      </c>
      <c r="G14" s="51">
        <v>0</v>
      </c>
      <c r="H14" s="52">
        <v>0</v>
      </c>
      <c r="I14" s="34"/>
      <c r="J14" s="34"/>
      <c r="K14" s="31">
        <v>9</v>
      </c>
      <c r="L14" s="53"/>
      <c r="M14" s="54"/>
      <c r="N14" s="54"/>
      <c r="O14" s="54"/>
      <c r="P14" s="54"/>
      <c r="Q14" s="54"/>
      <c r="R14" s="54"/>
      <c r="S14" s="54"/>
      <c r="T14" s="55"/>
      <c r="U14" s="34"/>
      <c r="V14" s="34"/>
      <c r="W14" s="34"/>
    </row>
    <row r="15" spans="1:23" ht="17" thickTop="1" thickBot="1" x14ac:dyDescent="0.4">
      <c r="A15" s="34"/>
      <c r="B15" s="30">
        <v>22</v>
      </c>
      <c r="C15" s="50">
        <v>64</v>
      </c>
      <c r="D15" s="51">
        <v>1</v>
      </c>
      <c r="E15" s="51">
        <v>8</v>
      </c>
      <c r="F15" s="51">
        <v>0</v>
      </c>
      <c r="G15" s="51">
        <v>8</v>
      </c>
      <c r="H15" s="52">
        <v>0</v>
      </c>
      <c r="I15" s="34"/>
      <c r="J15" s="34"/>
      <c r="K15" s="32" t="s">
        <v>23</v>
      </c>
      <c r="L15" s="21">
        <f t="shared" ref="L15:T15" si="0">SUM(L3:L14)</f>
        <v>0</v>
      </c>
      <c r="M15" s="21">
        <f t="shared" si="0"/>
        <v>0</v>
      </c>
      <c r="N15" s="21">
        <f t="shared" si="0"/>
        <v>0</v>
      </c>
      <c r="O15" s="21">
        <f t="shared" si="0"/>
        <v>15</v>
      </c>
      <c r="P15" s="21">
        <f t="shared" si="0"/>
        <v>0</v>
      </c>
      <c r="Q15" s="21">
        <f t="shared" si="0"/>
        <v>4859</v>
      </c>
      <c r="R15" s="21">
        <f t="shared" si="0"/>
        <v>0</v>
      </c>
      <c r="S15" s="21">
        <f t="shared" si="0"/>
        <v>0</v>
      </c>
      <c r="T15" s="21">
        <f t="shared" si="0"/>
        <v>21</v>
      </c>
      <c r="U15" s="34"/>
      <c r="V15" s="34"/>
      <c r="W15" s="34"/>
    </row>
    <row r="16" spans="1:23" ht="17" thickTop="1" thickBot="1" x14ac:dyDescent="0.4">
      <c r="A16" s="34"/>
      <c r="B16" s="30">
        <v>23</v>
      </c>
      <c r="C16" s="50">
        <v>64</v>
      </c>
      <c r="D16" s="51">
        <v>1.25</v>
      </c>
      <c r="E16" s="51">
        <v>8</v>
      </c>
      <c r="F16" s="51">
        <v>0</v>
      </c>
      <c r="G16" s="51">
        <v>8</v>
      </c>
      <c r="H16" s="52">
        <v>0</v>
      </c>
      <c r="I16" s="34"/>
      <c r="J16" s="34"/>
      <c r="K16" s="32" t="s">
        <v>24</v>
      </c>
      <c r="L16" s="59">
        <f>SUM((L15/Q15)*100)</f>
        <v>0</v>
      </c>
      <c r="M16" s="59">
        <f>SUM((1-((M15)/Q15))*100)</f>
        <v>100</v>
      </c>
      <c r="N16" s="59">
        <f>SUM((1-(N15/Q15))*100)</f>
        <v>100</v>
      </c>
      <c r="O16" s="59">
        <f>SUM(O15/Q15)*100</f>
        <v>0.30870549495781024</v>
      </c>
      <c r="P16" s="59">
        <f>SUM((1-(P15/Q15))*100)</f>
        <v>100</v>
      </c>
      <c r="Q16" s="59">
        <f>Q15/F47</f>
        <v>3.1099590373783919</v>
      </c>
      <c r="R16" s="59"/>
      <c r="S16" s="59">
        <f>SUM((1-(S15/T15))*100)</f>
        <v>100</v>
      </c>
      <c r="T16" s="59"/>
      <c r="U16" s="34"/>
      <c r="V16" s="34"/>
      <c r="W16" s="34"/>
    </row>
    <row r="17" spans="1:23" ht="17" thickTop="1" thickBot="1" x14ac:dyDescent="0.4">
      <c r="A17" s="34"/>
      <c r="B17" s="30">
        <v>24</v>
      </c>
      <c r="C17" s="50">
        <v>79.25</v>
      </c>
      <c r="D17" s="51">
        <v>1.75</v>
      </c>
      <c r="E17" s="51">
        <v>0</v>
      </c>
      <c r="F17" s="51">
        <v>0.75</v>
      </c>
      <c r="G17" s="51">
        <v>0</v>
      </c>
      <c r="H17" s="52">
        <v>0</v>
      </c>
      <c r="I17" s="34"/>
      <c r="J17" s="34"/>
      <c r="K17" s="32" t="s">
        <v>27</v>
      </c>
      <c r="L17" s="21" t="s">
        <v>28</v>
      </c>
      <c r="M17" s="21" t="s">
        <v>32</v>
      </c>
      <c r="N17" s="21" t="s">
        <v>33</v>
      </c>
      <c r="O17" s="21" t="s">
        <v>35</v>
      </c>
      <c r="P17" s="21" t="s">
        <v>34</v>
      </c>
      <c r="Q17" s="21" t="s">
        <v>37</v>
      </c>
      <c r="R17" s="21" t="s">
        <v>36</v>
      </c>
      <c r="S17" s="21" t="s">
        <v>61</v>
      </c>
      <c r="T17" s="21"/>
      <c r="U17" s="34"/>
      <c r="V17" s="34"/>
      <c r="W17" s="34"/>
    </row>
    <row r="18" spans="1:23" ht="15.5" thickTop="1" thickBot="1" x14ac:dyDescent="0.4">
      <c r="A18" s="34"/>
      <c r="B18" s="30">
        <v>25</v>
      </c>
      <c r="C18" s="50">
        <v>56</v>
      </c>
      <c r="D18" s="51">
        <v>0.5</v>
      </c>
      <c r="E18" s="51">
        <v>0</v>
      </c>
      <c r="F18" s="51">
        <v>0</v>
      </c>
      <c r="G18" s="51">
        <v>24</v>
      </c>
      <c r="H18" s="52">
        <v>0</v>
      </c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</row>
    <row r="19" spans="1:23" ht="15.75" customHeight="1" thickTop="1" x14ac:dyDescent="0.35">
      <c r="A19" s="34"/>
      <c r="B19" s="30">
        <v>26</v>
      </c>
      <c r="C19" s="50">
        <v>54.25</v>
      </c>
      <c r="D19" s="51">
        <v>0</v>
      </c>
      <c r="E19" s="51">
        <v>0</v>
      </c>
      <c r="F19" s="51">
        <v>17.75</v>
      </c>
      <c r="G19" s="51">
        <v>8</v>
      </c>
      <c r="H19" s="52">
        <v>0</v>
      </c>
      <c r="I19" s="34"/>
      <c r="J19" s="143" t="s">
        <v>21</v>
      </c>
      <c r="K19" s="146" t="s">
        <v>188</v>
      </c>
      <c r="L19" s="146" t="s">
        <v>202</v>
      </c>
      <c r="M19" s="146" t="s">
        <v>201</v>
      </c>
      <c r="N19" s="146" t="s">
        <v>192</v>
      </c>
      <c r="O19" s="146" t="s">
        <v>193</v>
      </c>
      <c r="P19" s="146" t="s">
        <v>196</v>
      </c>
      <c r="Q19" s="146" t="s">
        <v>197</v>
      </c>
      <c r="R19" s="146" t="s">
        <v>203</v>
      </c>
      <c r="S19" s="146" t="s">
        <v>199</v>
      </c>
      <c r="T19" s="146" t="s">
        <v>204</v>
      </c>
      <c r="U19" s="149" t="s">
        <v>200</v>
      </c>
      <c r="V19" s="34"/>
      <c r="W19" s="34"/>
    </row>
    <row r="20" spans="1:23" ht="25" customHeight="1" x14ac:dyDescent="0.35">
      <c r="A20" s="34"/>
      <c r="B20" s="30">
        <v>1</v>
      </c>
      <c r="C20" s="50">
        <v>71</v>
      </c>
      <c r="D20" s="51">
        <v>1.5</v>
      </c>
      <c r="E20" s="51">
        <v>0</v>
      </c>
      <c r="F20" s="51">
        <v>1</v>
      </c>
      <c r="G20" s="51">
        <v>8</v>
      </c>
      <c r="H20" s="52">
        <v>0</v>
      </c>
      <c r="I20" s="34"/>
      <c r="J20" s="144"/>
      <c r="K20" s="147"/>
      <c r="L20" s="147"/>
      <c r="M20" s="147"/>
      <c r="N20" s="147"/>
      <c r="O20" s="147"/>
      <c r="P20" s="147"/>
      <c r="Q20" s="147"/>
      <c r="R20" s="147"/>
      <c r="S20" s="147"/>
      <c r="T20" s="147"/>
      <c r="U20" s="150"/>
      <c r="V20" s="34"/>
      <c r="W20" s="34"/>
    </row>
    <row r="21" spans="1:23" ht="15" thickBot="1" x14ac:dyDescent="0.4">
      <c r="A21" s="34"/>
      <c r="B21" s="30">
        <v>2</v>
      </c>
      <c r="C21" s="50">
        <v>72</v>
      </c>
      <c r="D21" s="51">
        <v>1.25</v>
      </c>
      <c r="E21" s="51">
        <v>0</v>
      </c>
      <c r="F21" s="51">
        <v>8</v>
      </c>
      <c r="G21" s="51">
        <v>0</v>
      </c>
      <c r="H21" s="52">
        <v>0</v>
      </c>
      <c r="I21" s="34"/>
      <c r="J21" s="145"/>
      <c r="K21" s="148"/>
      <c r="L21" s="148"/>
      <c r="M21" s="148"/>
      <c r="N21" s="148"/>
      <c r="O21" s="148"/>
      <c r="P21" s="148"/>
      <c r="Q21" s="148"/>
      <c r="R21" s="148"/>
      <c r="S21" s="148"/>
      <c r="T21" s="148"/>
      <c r="U21" s="151"/>
      <c r="V21" s="34"/>
      <c r="W21" s="34"/>
    </row>
    <row r="22" spans="1:23" ht="15" thickTop="1" x14ac:dyDescent="0.35">
      <c r="A22" s="34"/>
      <c r="B22" s="30">
        <v>3</v>
      </c>
      <c r="C22" s="50">
        <v>71.45</v>
      </c>
      <c r="D22" s="51">
        <v>0.5</v>
      </c>
      <c r="E22" s="51">
        <v>0.25</v>
      </c>
      <c r="F22" s="51">
        <v>0</v>
      </c>
      <c r="G22" s="51">
        <v>8</v>
      </c>
      <c r="H22" s="52">
        <v>0</v>
      </c>
      <c r="I22" s="34"/>
      <c r="J22" s="10">
        <v>10</v>
      </c>
      <c r="K22" s="56">
        <v>0</v>
      </c>
      <c r="L22" s="48">
        <v>0</v>
      </c>
      <c r="M22" s="48">
        <v>0</v>
      </c>
      <c r="N22" s="48">
        <v>0</v>
      </c>
      <c r="O22" s="48">
        <v>0</v>
      </c>
      <c r="P22" s="48">
        <v>0</v>
      </c>
      <c r="Q22" s="48">
        <v>1</v>
      </c>
      <c r="R22" s="48">
        <v>0</v>
      </c>
      <c r="S22" s="48">
        <v>0</v>
      </c>
      <c r="T22" s="48">
        <v>0</v>
      </c>
      <c r="U22" s="49">
        <v>0</v>
      </c>
      <c r="V22" s="34"/>
      <c r="W22" s="34"/>
    </row>
    <row r="23" spans="1:23" x14ac:dyDescent="0.35">
      <c r="A23" s="34"/>
      <c r="B23" s="30">
        <v>4</v>
      </c>
      <c r="C23" s="50">
        <v>78.5</v>
      </c>
      <c r="D23" s="51">
        <v>1</v>
      </c>
      <c r="E23" s="51">
        <v>0</v>
      </c>
      <c r="F23" s="51">
        <v>1.5</v>
      </c>
      <c r="G23" s="51">
        <v>0</v>
      </c>
      <c r="H23" s="52">
        <v>0</v>
      </c>
      <c r="I23" s="34"/>
      <c r="J23" s="15">
        <v>11</v>
      </c>
      <c r="K23" s="57">
        <v>0</v>
      </c>
      <c r="L23" s="51">
        <v>0</v>
      </c>
      <c r="M23" s="51">
        <v>0</v>
      </c>
      <c r="N23" s="51">
        <v>0</v>
      </c>
      <c r="O23" s="51">
        <v>0</v>
      </c>
      <c r="P23" s="51">
        <v>0</v>
      </c>
      <c r="Q23" s="51">
        <v>0</v>
      </c>
      <c r="R23" s="51">
        <v>0</v>
      </c>
      <c r="S23" s="51">
        <v>0</v>
      </c>
      <c r="T23" s="51">
        <v>0</v>
      </c>
      <c r="U23" s="52">
        <v>1</v>
      </c>
      <c r="V23" s="34"/>
      <c r="W23" s="34"/>
    </row>
    <row r="24" spans="1:23" x14ac:dyDescent="0.35">
      <c r="A24" s="34"/>
      <c r="B24" s="30">
        <v>5</v>
      </c>
      <c r="C24" s="50">
        <v>68.5</v>
      </c>
      <c r="D24" s="51">
        <v>0</v>
      </c>
      <c r="E24" s="51">
        <v>8</v>
      </c>
      <c r="F24" s="51">
        <v>3.5</v>
      </c>
      <c r="G24" s="51">
        <v>0</v>
      </c>
      <c r="H24" s="52">
        <v>0</v>
      </c>
      <c r="I24" s="34"/>
      <c r="J24" s="15">
        <v>12</v>
      </c>
      <c r="K24" s="57">
        <v>0</v>
      </c>
      <c r="L24" s="51">
        <v>0</v>
      </c>
      <c r="M24" s="51">
        <v>0</v>
      </c>
      <c r="N24" s="51">
        <v>0</v>
      </c>
      <c r="O24" s="51">
        <v>0</v>
      </c>
      <c r="P24" s="51">
        <v>0</v>
      </c>
      <c r="Q24" s="51">
        <v>0</v>
      </c>
      <c r="R24" s="51">
        <v>0</v>
      </c>
      <c r="S24" s="51">
        <v>0</v>
      </c>
      <c r="T24" s="51">
        <v>0</v>
      </c>
      <c r="U24" s="52">
        <v>0</v>
      </c>
      <c r="V24" s="34"/>
      <c r="W24" s="34"/>
    </row>
    <row r="25" spans="1:23" x14ac:dyDescent="0.35">
      <c r="A25" s="34"/>
      <c r="B25" s="30">
        <v>6</v>
      </c>
      <c r="C25" s="50">
        <v>79.5</v>
      </c>
      <c r="D25" s="51">
        <v>0</v>
      </c>
      <c r="E25" s="51">
        <v>0</v>
      </c>
      <c r="F25" s="51">
        <v>0.5</v>
      </c>
      <c r="G25" s="51">
        <v>0</v>
      </c>
      <c r="H25" s="52">
        <v>0</v>
      </c>
      <c r="I25" s="34"/>
      <c r="J25" s="15">
        <v>1</v>
      </c>
      <c r="K25" s="57">
        <v>1</v>
      </c>
      <c r="L25" s="51">
        <v>0</v>
      </c>
      <c r="M25" s="51">
        <v>0</v>
      </c>
      <c r="N25" s="51">
        <v>0</v>
      </c>
      <c r="O25" s="51">
        <v>1</v>
      </c>
      <c r="P25" s="51">
        <v>1</v>
      </c>
      <c r="Q25" s="51">
        <v>1</v>
      </c>
      <c r="R25" s="51">
        <v>0</v>
      </c>
      <c r="S25" s="51">
        <v>0</v>
      </c>
      <c r="T25" s="51">
        <v>0</v>
      </c>
      <c r="U25" s="52">
        <v>0</v>
      </c>
      <c r="V25" s="34"/>
      <c r="W25" s="34"/>
    </row>
    <row r="26" spans="1:23" x14ac:dyDescent="0.35">
      <c r="A26" s="34"/>
      <c r="B26" s="30">
        <v>7</v>
      </c>
      <c r="C26" s="50">
        <v>72</v>
      </c>
      <c r="D26" s="51">
        <v>0.5</v>
      </c>
      <c r="E26" s="51">
        <v>8</v>
      </c>
      <c r="F26" s="51">
        <v>0</v>
      </c>
      <c r="G26" s="51">
        <v>0</v>
      </c>
      <c r="H26" s="52">
        <v>0</v>
      </c>
      <c r="I26" s="34"/>
      <c r="J26" s="15">
        <v>2</v>
      </c>
      <c r="K26" s="57">
        <v>0</v>
      </c>
      <c r="L26" s="51">
        <v>0</v>
      </c>
      <c r="M26" s="51">
        <v>0</v>
      </c>
      <c r="N26" s="51">
        <v>0</v>
      </c>
      <c r="O26" s="51">
        <v>0</v>
      </c>
      <c r="P26" s="51">
        <v>0</v>
      </c>
      <c r="Q26" s="51">
        <v>0</v>
      </c>
      <c r="R26" s="51">
        <v>0</v>
      </c>
      <c r="S26" s="51">
        <v>0</v>
      </c>
      <c r="T26" s="51">
        <v>0</v>
      </c>
      <c r="U26" s="52">
        <v>0</v>
      </c>
      <c r="V26" s="34"/>
      <c r="W26" s="34"/>
    </row>
    <row r="27" spans="1:23" x14ac:dyDescent="0.35">
      <c r="A27" s="34"/>
      <c r="B27" s="30">
        <v>8</v>
      </c>
      <c r="C27" s="50">
        <v>68.25</v>
      </c>
      <c r="D27" s="51">
        <v>0</v>
      </c>
      <c r="E27" s="51">
        <v>0</v>
      </c>
      <c r="F27" s="51">
        <v>11.75</v>
      </c>
      <c r="G27" s="51">
        <v>0</v>
      </c>
      <c r="H27" s="52">
        <v>0</v>
      </c>
      <c r="I27" s="34"/>
      <c r="J27" s="15">
        <v>3</v>
      </c>
      <c r="K27" s="57">
        <v>0</v>
      </c>
      <c r="L27" s="51">
        <v>3</v>
      </c>
      <c r="M27" s="51">
        <v>0</v>
      </c>
      <c r="N27" s="51">
        <v>0</v>
      </c>
      <c r="O27" s="51">
        <v>0</v>
      </c>
      <c r="P27" s="51">
        <v>0</v>
      </c>
      <c r="Q27" s="51">
        <v>1</v>
      </c>
      <c r="R27" s="51">
        <v>0</v>
      </c>
      <c r="S27" s="51">
        <v>0</v>
      </c>
      <c r="T27" s="51">
        <v>0</v>
      </c>
      <c r="U27" s="52">
        <v>0</v>
      </c>
      <c r="V27" s="34"/>
      <c r="W27" s="34"/>
    </row>
    <row r="28" spans="1:23" x14ac:dyDescent="0.35">
      <c r="A28" s="34"/>
      <c r="B28" s="30">
        <v>9</v>
      </c>
      <c r="C28" s="50">
        <v>78.5</v>
      </c>
      <c r="D28" s="51">
        <v>0</v>
      </c>
      <c r="E28" s="51">
        <v>1.5</v>
      </c>
      <c r="F28" s="51">
        <v>0</v>
      </c>
      <c r="G28" s="51">
        <v>0</v>
      </c>
      <c r="H28" s="52">
        <v>0</v>
      </c>
      <c r="I28" s="34"/>
      <c r="J28" s="15">
        <v>4</v>
      </c>
      <c r="K28" s="57">
        <v>0</v>
      </c>
      <c r="L28" s="51">
        <v>2</v>
      </c>
      <c r="M28" s="51">
        <v>0</v>
      </c>
      <c r="N28" s="51">
        <v>1</v>
      </c>
      <c r="O28" s="51">
        <v>0</v>
      </c>
      <c r="P28" s="51">
        <v>1</v>
      </c>
      <c r="Q28" s="51">
        <v>1</v>
      </c>
      <c r="R28" s="51">
        <v>0</v>
      </c>
      <c r="S28" s="51">
        <v>0</v>
      </c>
      <c r="T28" s="51">
        <v>0</v>
      </c>
      <c r="U28" s="52">
        <v>0</v>
      </c>
      <c r="V28" s="34"/>
      <c r="W28" s="34"/>
    </row>
    <row r="29" spans="1:23" x14ac:dyDescent="0.35">
      <c r="A29" s="34"/>
      <c r="B29" s="30">
        <v>10</v>
      </c>
      <c r="C29" s="50">
        <v>48</v>
      </c>
      <c r="D29" s="51">
        <v>0</v>
      </c>
      <c r="E29" s="51">
        <v>24</v>
      </c>
      <c r="F29" s="51">
        <v>0</v>
      </c>
      <c r="G29" s="51">
        <v>8</v>
      </c>
      <c r="H29" s="52">
        <v>0</v>
      </c>
      <c r="I29" s="34"/>
      <c r="J29" s="15">
        <v>5</v>
      </c>
      <c r="K29" s="57">
        <v>0</v>
      </c>
      <c r="L29" s="51">
        <v>3</v>
      </c>
      <c r="M29" s="51">
        <v>0</v>
      </c>
      <c r="N29" s="51">
        <v>0</v>
      </c>
      <c r="O29" s="51">
        <v>1</v>
      </c>
      <c r="P29" s="51">
        <v>0</v>
      </c>
      <c r="Q29" s="51">
        <v>0</v>
      </c>
      <c r="R29" s="51">
        <v>0</v>
      </c>
      <c r="S29" s="51">
        <v>0</v>
      </c>
      <c r="T29" s="51">
        <v>0</v>
      </c>
      <c r="U29" s="52">
        <v>0</v>
      </c>
      <c r="V29" s="34"/>
      <c r="W29" s="34"/>
    </row>
    <row r="30" spans="1:23" x14ac:dyDescent="0.35">
      <c r="A30" s="34"/>
      <c r="B30" s="30">
        <v>11</v>
      </c>
      <c r="C30" s="50">
        <v>80</v>
      </c>
      <c r="D30" s="51">
        <v>0.5</v>
      </c>
      <c r="E30" s="51">
        <v>0</v>
      </c>
      <c r="F30" s="51">
        <v>0</v>
      </c>
      <c r="G30" s="51">
        <v>0</v>
      </c>
      <c r="H30" s="52">
        <v>0</v>
      </c>
      <c r="I30" s="34"/>
      <c r="J30" s="15">
        <v>6</v>
      </c>
      <c r="K30" s="57">
        <v>0</v>
      </c>
      <c r="L30" s="51">
        <v>5</v>
      </c>
      <c r="M30" s="51">
        <v>0</v>
      </c>
      <c r="N30" s="51">
        <v>0</v>
      </c>
      <c r="O30" s="51">
        <v>1</v>
      </c>
      <c r="P30" s="51">
        <v>0</v>
      </c>
      <c r="Q30" s="51">
        <v>0</v>
      </c>
      <c r="R30" s="51">
        <v>0</v>
      </c>
      <c r="S30" s="51">
        <v>0</v>
      </c>
      <c r="T30" s="51">
        <v>0</v>
      </c>
      <c r="U30" s="52">
        <v>0</v>
      </c>
      <c r="V30" s="34"/>
      <c r="W30" s="34"/>
    </row>
    <row r="31" spans="1:23" x14ac:dyDescent="0.35">
      <c r="A31" s="34"/>
      <c r="B31" s="30">
        <v>12</v>
      </c>
      <c r="C31" s="50">
        <v>64</v>
      </c>
      <c r="D31" s="51">
        <v>0.5</v>
      </c>
      <c r="E31" s="51">
        <v>0</v>
      </c>
      <c r="F31" s="51">
        <v>8</v>
      </c>
      <c r="G31" s="51">
        <v>8</v>
      </c>
      <c r="H31" s="52">
        <v>0</v>
      </c>
      <c r="I31" s="34"/>
      <c r="J31" s="15">
        <v>7</v>
      </c>
      <c r="K31" s="57">
        <v>0</v>
      </c>
      <c r="L31" s="51">
        <v>2</v>
      </c>
      <c r="M31" s="51">
        <v>1</v>
      </c>
      <c r="N31" s="51">
        <v>0</v>
      </c>
      <c r="O31" s="51">
        <v>0</v>
      </c>
      <c r="P31" s="51">
        <v>1</v>
      </c>
      <c r="Q31" s="51">
        <v>0</v>
      </c>
      <c r="R31" s="51">
        <v>0</v>
      </c>
      <c r="S31" s="51">
        <v>0</v>
      </c>
      <c r="T31" s="51">
        <v>0</v>
      </c>
      <c r="U31" s="52">
        <v>0</v>
      </c>
      <c r="V31" s="34"/>
      <c r="W31" s="34"/>
    </row>
    <row r="32" spans="1:23" x14ac:dyDescent="0.35">
      <c r="A32" s="34"/>
      <c r="B32" s="30">
        <v>13</v>
      </c>
      <c r="C32" s="50">
        <v>71.5</v>
      </c>
      <c r="D32" s="51">
        <v>0</v>
      </c>
      <c r="E32" s="51">
        <v>8</v>
      </c>
      <c r="F32" s="51">
        <v>0.5</v>
      </c>
      <c r="G32" s="51">
        <v>0</v>
      </c>
      <c r="H32" s="52">
        <v>0</v>
      </c>
      <c r="I32" s="34"/>
      <c r="J32" s="15">
        <v>8</v>
      </c>
      <c r="K32" s="57"/>
      <c r="L32" s="51"/>
      <c r="M32" s="51"/>
      <c r="N32" s="51"/>
      <c r="O32" s="51"/>
      <c r="P32" s="51"/>
      <c r="Q32" s="51"/>
      <c r="R32" s="51"/>
      <c r="S32" s="51"/>
      <c r="T32" s="51"/>
      <c r="U32" s="52"/>
      <c r="V32" s="34"/>
      <c r="W32" s="34"/>
    </row>
    <row r="33" spans="1:23" ht="15" thickBot="1" x14ac:dyDescent="0.4">
      <c r="A33" s="34"/>
      <c r="B33" s="30">
        <v>14</v>
      </c>
      <c r="C33" s="50">
        <v>79</v>
      </c>
      <c r="D33" s="51">
        <v>0.45</v>
      </c>
      <c r="E33" s="51">
        <v>0</v>
      </c>
      <c r="F33" s="51">
        <v>1</v>
      </c>
      <c r="G33" s="51">
        <v>0</v>
      </c>
      <c r="H33" s="52">
        <v>0</v>
      </c>
      <c r="I33" s="34"/>
      <c r="J33" s="44">
        <v>9</v>
      </c>
      <c r="K33" s="58"/>
      <c r="L33" s="54"/>
      <c r="M33" s="54"/>
      <c r="N33" s="54"/>
      <c r="O33" s="54"/>
      <c r="P33" s="54"/>
      <c r="Q33" s="54"/>
      <c r="R33" s="54"/>
      <c r="S33" s="54"/>
      <c r="T33" s="54"/>
      <c r="U33" s="55"/>
      <c r="V33" s="34"/>
      <c r="W33" s="34"/>
    </row>
    <row r="34" spans="1:23" ht="17" thickTop="1" thickBot="1" x14ac:dyDescent="0.4">
      <c r="A34" s="34"/>
      <c r="B34" s="30">
        <v>15</v>
      </c>
      <c r="C34" s="50">
        <v>80</v>
      </c>
      <c r="D34" s="51">
        <v>0</v>
      </c>
      <c r="E34" s="51">
        <v>0</v>
      </c>
      <c r="F34" s="51">
        <v>0</v>
      </c>
      <c r="G34" s="51">
        <v>0</v>
      </c>
      <c r="H34" s="52">
        <v>0</v>
      </c>
      <c r="I34" s="34"/>
      <c r="J34" s="32" t="s">
        <v>23</v>
      </c>
      <c r="K34" s="33">
        <f t="shared" ref="K34:U34" si="1">SUM(K22:K33)</f>
        <v>1</v>
      </c>
      <c r="L34" s="33">
        <f t="shared" si="1"/>
        <v>15</v>
      </c>
      <c r="M34" s="33">
        <f t="shared" si="1"/>
        <v>1</v>
      </c>
      <c r="N34" s="33">
        <f t="shared" si="1"/>
        <v>1</v>
      </c>
      <c r="O34" s="33">
        <f t="shared" si="1"/>
        <v>3</v>
      </c>
      <c r="P34" s="33">
        <f t="shared" si="1"/>
        <v>3</v>
      </c>
      <c r="Q34" s="33">
        <f t="shared" si="1"/>
        <v>4</v>
      </c>
      <c r="R34" s="33">
        <f t="shared" si="1"/>
        <v>0</v>
      </c>
      <c r="S34" s="33">
        <f t="shared" si="1"/>
        <v>0</v>
      </c>
      <c r="T34" s="33">
        <f t="shared" si="1"/>
        <v>0</v>
      </c>
      <c r="U34" s="21">
        <f t="shared" si="1"/>
        <v>1</v>
      </c>
      <c r="V34" s="34"/>
      <c r="W34" s="34"/>
    </row>
    <row r="35" spans="1:23" ht="15.5" thickTop="1" thickBot="1" x14ac:dyDescent="0.4">
      <c r="A35" s="34"/>
      <c r="B35" s="30">
        <v>16</v>
      </c>
      <c r="C35" s="50"/>
      <c r="D35" s="51"/>
      <c r="E35" s="51"/>
      <c r="F35" s="51"/>
      <c r="G35" s="51"/>
      <c r="H35" s="52"/>
      <c r="I35" s="34"/>
      <c r="J35" s="14" t="s">
        <v>27</v>
      </c>
      <c r="K35" s="21" t="s">
        <v>29</v>
      </c>
      <c r="L35" s="21" t="s">
        <v>30</v>
      </c>
      <c r="M35" s="21" t="s">
        <v>58</v>
      </c>
      <c r="N35" s="21" t="s">
        <v>59</v>
      </c>
      <c r="O35" s="21" t="s">
        <v>60</v>
      </c>
      <c r="P35" s="21" t="s">
        <v>38</v>
      </c>
      <c r="Q35" s="21" t="s">
        <v>39</v>
      </c>
      <c r="R35" s="21" t="s">
        <v>62</v>
      </c>
      <c r="S35" s="21" t="s">
        <v>63</v>
      </c>
      <c r="T35" s="21" t="s">
        <v>64</v>
      </c>
      <c r="U35" s="21" t="s">
        <v>65</v>
      </c>
      <c r="V35" s="34"/>
      <c r="W35" s="34"/>
    </row>
    <row r="36" spans="1:23" ht="15" thickTop="1" x14ac:dyDescent="0.35">
      <c r="A36" s="34"/>
      <c r="B36" s="30">
        <v>17</v>
      </c>
      <c r="C36" s="50"/>
      <c r="D36" s="51"/>
      <c r="E36" s="51"/>
      <c r="F36" s="51"/>
      <c r="G36" s="51"/>
      <c r="H36" s="52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</row>
    <row r="37" spans="1:23" x14ac:dyDescent="0.35">
      <c r="A37" s="34"/>
      <c r="B37" s="30">
        <v>18</v>
      </c>
      <c r="C37" s="50"/>
      <c r="D37" s="51"/>
      <c r="E37" s="51"/>
      <c r="F37" s="51"/>
      <c r="G37" s="51"/>
      <c r="H37" s="52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</row>
    <row r="38" spans="1:23" x14ac:dyDescent="0.35">
      <c r="A38" s="34"/>
      <c r="B38" s="30">
        <v>19</v>
      </c>
      <c r="C38" s="50"/>
      <c r="D38" s="51"/>
      <c r="E38" s="51"/>
      <c r="F38" s="51"/>
      <c r="G38" s="51"/>
      <c r="H38" s="52"/>
      <c r="I38" s="34"/>
      <c r="J38" s="152" t="s">
        <v>57</v>
      </c>
      <c r="K38" s="152"/>
      <c r="L38" s="152"/>
      <c r="M38" s="152"/>
      <c r="N38" s="152"/>
      <c r="O38" s="152"/>
      <c r="P38" s="34"/>
      <c r="Q38" s="34"/>
      <c r="R38" s="34"/>
      <c r="S38" s="34"/>
      <c r="T38" s="34"/>
      <c r="U38" s="34"/>
      <c r="V38" s="34"/>
      <c r="W38" s="34"/>
    </row>
    <row r="39" spans="1:23" x14ac:dyDescent="0.35">
      <c r="A39" s="34"/>
      <c r="B39" s="30">
        <v>20</v>
      </c>
      <c r="C39" s="50"/>
      <c r="D39" s="51"/>
      <c r="E39" s="51"/>
      <c r="F39" s="51"/>
      <c r="G39" s="51"/>
      <c r="H39" s="52"/>
      <c r="I39" s="34"/>
      <c r="J39" s="152"/>
      <c r="K39" s="152"/>
      <c r="L39" s="152"/>
      <c r="M39" s="152"/>
      <c r="N39" s="152"/>
      <c r="O39" s="152"/>
      <c r="P39" s="34"/>
      <c r="Q39" s="34"/>
      <c r="R39" s="34"/>
      <c r="S39" s="34"/>
      <c r="T39" s="34"/>
      <c r="U39" s="34"/>
      <c r="V39" s="34"/>
      <c r="W39" s="34"/>
    </row>
    <row r="40" spans="1:23" ht="15" thickBot="1" x14ac:dyDescent="0.4">
      <c r="A40" s="34"/>
      <c r="B40" s="30">
        <v>21</v>
      </c>
      <c r="C40" s="50"/>
      <c r="D40" s="51"/>
      <c r="E40" s="51"/>
      <c r="F40" s="51"/>
      <c r="G40" s="51"/>
      <c r="H40" s="52"/>
      <c r="I40" s="34"/>
      <c r="J40" s="35"/>
      <c r="K40" s="35"/>
      <c r="L40" s="35"/>
      <c r="M40" s="35"/>
      <c r="N40" s="35"/>
      <c r="O40" s="35"/>
      <c r="P40" s="34"/>
      <c r="Q40" s="34"/>
      <c r="R40" s="34"/>
      <c r="S40" s="34"/>
      <c r="T40" s="34"/>
      <c r="U40" s="34"/>
      <c r="V40" s="34"/>
      <c r="W40" s="34"/>
    </row>
    <row r="41" spans="1:23" ht="15.5" thickTop="1" thickBot="1" x14ac:dyDescent="0.4">
      <c r="A41" s="34"/>
      <c r="B41" s="30">
        <v>22</v>
      </c>
      <c r="C41" s="50"/>
      <c r="D41" s="51"/>
      <c r="E41" s="51"/>
      <c r="F41" s="51"/>
      <c r="G41" s="51"/>
      <c r="H41" s="52"/>
      <c r="I41" s="34"/>
      <c r="J41" s="34"/>
      <c r="K41" s="36" t="s">
        <v>0</v>
      </c>
      <c r="L41" s="36" t="s">
        <v>1</v>
      </c>
      <c r="M41" s="36" t="s">
        <v>2</v>
      </c>
      <c r="N41" s="36" t="s">
        <v>3</v>
      </c>
      <c r="O41" s="34"/>
      <c r="P41" s="34"/>
      <c r="Q41" s="34"/>
      <c r="R41" s="34"/>
      <c r="S41" s="34"/>
      <c r="T41" s="34"/>
      <c r="U41" s="34"/>
      <c r="V41" s="34"/>
      <c r="W41" s="34"/>
    </row>
    <row r="42" spans="1:23" ht="15.5" thickTop="1" thickBot="1" x14ac:dyDescent="0.4">
      <c r="A42" s="34"/>
      <c r="B42" s="30">
        <v>23</v>
      </c>
      <c r="C42" s="50"/>
      <c r="D42" s="51"/>
      <c r="E42" s="51"/>
      <c r="F42" s="51"/>
      <c r="G42" s="51"/>
      <c r="H42" s="52"/>
      <c r="I42" s="34"/>
      <c r="J42" s="34"/>
      <c r="K42" s="21" t="str">
        <f>IF(OR('4'!C3&gt;SetUp!C7,'4'!C4&lt;SetUp!C8),"Unacceptable",IF(AND(AND('4'!C3&lt;=SetUp!D7,'4'!C4&gt;=SetUp!D8),OR('4'!C5&gt;=SetUp!C12,'4'!C6&gt;=SetUp!C13,'4'!C7&gt;=SetUp!C14)), "Exceptional", "Fully Successful"))</f>
        <v>Exceptional</v>
      </c>
      <c r="L42" s="21" t="str">
        <f>IF(OR('4'!D3&lt;SetUp!E7,'4'!D4&gt;SetUp!E8,'4'!D5&lt;SetUp!E9),"Unacceptable", IF(AND(AND('4'!D3&gt;=SetUp!F7,'4'!D4&lt;=SetUp!F8,'4'!D5&gt;=SetUp!F9),OR('4'!D6&gt;=SetUp!E13,'4'!D7&gt;=SetUp!E14)), "Exceptional", "Fully Successful"))</f>
        <v>Exceptional</v>
      </c>
      <c r="M42" s="21" t="str">
        <f>IF(OR('4'!E3&lt;SetUp!G7,'4'!E4&gt;SetUp!G8),"Unacceptable",IF(AND(AND('4'!E3&gt;=SetUp!H7, '4'!E4&lt;=SetUp!H8),OR('4'!E5&gt;=SetUp!G12, '4'!E6&gt;=SetUp!G13)), "Exceptional", "Fully Successful"))</f>
        <v>Exceptional</v>
      </c>
      <c r="N42" s="21" t="str">
        <f>IF(OR(F3&lt;SetUp!I7,'4'!F4&gt;SetUp!I11),"Unacceptable",IF(AND(AND(F3&gt;=SetUp!J7,'4'!F4&lt;=SetUp!I11),OR('4'!F5&gt;=SetUp!I12,'4'!F6&gt;=SetUp!I13,'4'!F7&gt;=SetUp!I14)),"Exceptional","Fully Successful"))</f>
        <v>Exceptional</v>
      </c>
      <c r="O42" s="34"/>
      <c r="P42" s="34"/>
      <c r="Q42" s="34"/>
      <c r="R42" s="34"/>
      <c r="S42" s="34"/>
      <c r="T42" s="34"/>
      <c r="U42" s="34"/>
      <c r="V42" s="34"/>
      <c r="W42" s="34"/>
    </row>
    <row r="43" spans="1:23" ht="15.5" thickTop="1" thickBot="1" x14ac:dyDescent="0.4">
      <c r="A43" s="34"/>
      <c r="B43" s="30">
        <v>24</v>
      </c>
      <c r="C43" s="50"/>
      <c r="D43" s="51"/>
      <c r="E43" s="51"/>
      <c r="F43" s="51"/>
      <c r="G43" s="51"/>
      <c r="H43" s="52"/>
      <c r="I43" s="34"/>
      <c r="J43" s="34"/>
      <c r="K43" s="21">
        <f>IF(K42="Exceptional", 10, IF(K42="Fully Successful", 1, 0))</f>
        <v>10</v>
      </c>
      <c r="L43" s="21">
        <f>IF(L42="Exceptional", 10, IF(L42="Fully Successful", 1, 0))</f>
        <v>10</v>
      </c>
      <c r="M43" s="21">
        <f>IF(M42="Exceptional", 10, IF(M42="Fully Successful", 1, 0))</f>
        <v>10</v>
      </c>
      <c r="N43" s="21">
        <f>IF(N42="Exceptional", 10, IF(N42="Fully Successful", 1, 0))</f>
        <v>10</v>
      </c>
      <c r="O43" s="34"/>
      <c r="P43" s="34"/>
      <c r="Q43" s="34"/>
      <c r="R43" s="34"/>
      <c r="S43" s="34"/>
      <c r="T43" s="34"/>
      <c r="U43" s="34"/>
      <c r="V43" s="34"/>
      <c r="W43" s="34"/>
    </row>
    <row r="44" spans="1:23" ht="15.75" customHeight="1" thickTop="1" thickBot="1" x14ac:dyDescent="0.4">
      <c r="A44" s="34"/>
      <c r="B44" s="30">
        <v>25</v>
      </c>
      <c r="C44" s="50"/>
      <c r="D44" s="51"/>
      <c r="E44" s="51"/>
      <c r="F44" s="51"/>
      <c r="G44" s="51"/>
      <c r="H44" s="52"/>
      <c r="I44" s="34"/>
      <c r="J44" s="34"/>
      <c r="K44" s="34"/>
      <c r="L44" s="21">
        <f>SUM(K43:M43)</f>
        <v>30</v>
      </c>
      <c r="M44" s="21">
        <f>N43</f>
        <v>10</v>
      </c>
      <c r="N44" s="21" t="str">
        <f>IF(L44+M44=40,"OutStanding",IF(AND(L44&gt;=30,M44&gt;=1),"Excellent",IF(AND(K43&gt;=1,L43&gt;=1,M43&gt;=1,N43&gt;=1),"Fully Successful",IF(AND(K43&gt;=1,L43&gt;=1,M43&gt;=1,N43&lt;1),"Minimally Successful","Unacceptable"))))</f>
        <v>OutStanding</v>
      </c>
      <c r="O44" s="34"/>
      <c r="P44" s="34"/>
      <c r="Q44" s="34"/>
      <c r="R44" s="34"/>
      <c r="S44" s="34"/>
      <c r="T44" s="34"/>
      <c r="U44" s="34"/>
      <c r="V44" s="34"/>
      <c r="W44" s="34"/>
    </row>
    <row r="45" spans="1:23" ht="15.5" thickTop="1" thickBot="1" x14ac:dyDescent="0.4">
      <c r="A45" s="34"/>
      <c r="B45" s="37">
        <v>26</v>
      </c>
      <c r="C45" s="53"/>
      <c r="D45" s="54"/>
      <c r="E45" s="54"/>
      <c r="F45" s="54"/>
      <c r="G45" s="54"/>
      <c r="H45" s="55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</row>
    <row r="46" spans="1:23" ht="15.5" thickTop="1" thickBot="1" x14ac:dyDescent="0.4">
      <c r="A46" s="34"/>
      <c r="B46" s="14" t="s">
        <v>23</v>
      </c>
      <c r="C46" s="21">
        <f t="shared" ref="C46:H46" si="2">SUM(C13:C45)</f>
        <v>1550.7</v>
      </c>
      <c r="D46" s="21">
        <f t="shared" si="2"/>
        <v>11.7</v>
      </c>
      <c r="E46" s="21">
        <f t="shared" si="2"/>
        <v>66.25</v>
      </c>
      <c r="F46" s="21">
        <f t="shared" si="2"/>
        <v>54.75</v>
      </c>
      <c r="G46" s="21">
        <f t="shared" si="2"/>
        <v>88</v>
      </c>
      <c r="H46" s="21">
        <f t="shared" si="2"/>
        <v>0</v>
      </c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</row>
    <row r="47" spans="1:23" ht="15.5" thickTop="1" thickBot="1" x14ac:dyDescent="0.4">
      <c r="A47" s="34"/>
      <c r="B47" s="14" t="s">
        <v>26</v>
      </c>
      <c r="C47" s="21">
        <f>C46+D46+E46+F46+G46+H46</f>
        <v>1771.4</v>
      </c>
      <c r="D47" s="153" t="s">
        <v>66</v>
      </c>
      <c r="E47" s="154"/>
      <c r="F47" s="155">
        <f>C46+D46</f>
        <v>1562.4</v>
      </c>
      <c r="G47" s="156"/>
      <c r="H47" s="157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</row>
    <row r="48" spans="1:23" ht="15" thickTop="1" x14ac:dyDescent="0.35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</row>
    <row r="49" spans="1:23" x14ac:dyDescent="0.35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</row>
    <row r="50" spans="1:23" x14ac:dyDescent="0.35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</row>
    <row r="51" spans="1:23" x14ac:dyDescent="0.35">
      <c r="A51" s="34"/>
      <c r="B51" s="34"/>
      <c r="C51" s="34"/>
      <c r="D51" s="34"/>
      <c r="E51" s="34"/>
      <c r="F51" s="34"/>
      <c r="G51" s="34"/>
      <c r="H51" s="34"/>
      <c r="I51" s="34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4"/>
      <c r="W51" s="34"/>
    </row>
    <row r="52" spans="1:23" x14ac:dyDescent="0.35">
      <c r="A52" s="34"/>
      <c r="B52" s="34"/>
      <c r="C52" s="34"/>
      <c r="D52" s="34"/>
      <c r="E52" s="34"/>
      <c r="F52" s="34"/>
      <c r="G52" s="34"/>
      <c r="H52" s="34"/>
      <c r="I52" s="34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4"/>
      <c r="W52" s="34"/>
    </row>
    <row r="53" spans="1:23" x14ac:dyDescent="0.35">
      <c r="A53" s="34"/>
      <c r="B53" s="34"/>
      <c r="C53" s="34"/>
      <c r="D53" s="34"/>
      <c r="E53" s="34"/>
      <c r="F53" s="34"/>
      <c r="G53" s="34"/>
      <c r="H53" s="34"/>
      <c r="I53" s="34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4"/>
      <c r="W53" s="34"/>
    </row>
    <row r="54" spans="1:23" x14ac:dyDescent="0.35"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</row>
    <row r="55" spans="1:23" x14ac:dyDescent="0.35"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</row>
    <row r="56" spans="1:23" x14ac:dyDescent="0.35"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</row>
    <row r="57" spans="1:23" x14ac:dyDescent="0.35"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</row>
    <row r="58" spans="1:23" x14ac:dyDescent="0.35"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</row>
    <row r="59" spans="1:23" x14ac:dyDescent="0.35"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</row>
    <row r="60" spans="1:23" x14ac:dyDescent="0.35"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</row>
  </sheetData>
  <sheetProtection selectLockedCells="1"/>
  <mergeCells count="18">
    <mergeCell ref="S19:S21"/>
    <mergeCell ref="T19:T21"/>
    <mergeCell ref="U19:U21"/>
    <mergeCell ref="J38:O39"/>
    <mergeCell ref="D47:E47"/>
    <mergeCell ref="F47:H47"/>
    <mergeCell ref="M19:M21"/>
    <mergeCell ref="N19:N21"/>
    <mergeCell ref="O19:O21"/>
    <mergeCell ref="P19:P21"/>
    <mergeCell ref="Q19:Q21"/>
    <mergeCell ref="R19:R21"/>
    <mergeCell ref="L19:L21"/>
    <mergeCell ref="H2:I2"/>
    <mergeCell ref="B9:B10"/>
    <mergeCell ref="C9:F10"/>
    <mergeCell ref="J19:J21"/>
    <mergeCell ref="K19:K21"/>
  </mergeCells>
  <conditionalFormatting sqref="C8:F8">
    <cfRule type="containsText" dxfId="315" priority="5" operator="containsText" text="Fully Successful">
      <formula>NOT(ISERROR(SEARCH("Fully Successful",C8)))</formula>
    </cfRule>
    <cfRule type="containsText" dxfId="314" priority="6" operator="containsText" text="Exceptional">
      <formula>NOT(ISERROR(SEARCH("Exceptional",C8)))</formula>
    </cfRule>
  </conditionalFormatting>
  <conditionalFormatting sqref="C8:F10">
    <cfRule type="containsText" dxfId="313" priority="4" operator="containsText" text="Unacceptable">
      <formula>NOT(ISERROR(SEARCH("Unacceptable",C8)))</formula>
    </cfRule>
  </conditionalFormatting>
  <conditionalFormatting sqref="C9:F10">
    <cfRule type="containsText" dxfId="312" priority="59" operator="containsText" text="Outstanding">
      <formula>NOT(ISERROR(SEARCH("Outstanding",C9)))</formula>
    </cfRule>
    <cfRule type="containsText" dxfId="311" priority="58" operator="containsText" text="Excellent">
      <formula>NOT(ISERROR(SEARCH("Excellent",C9)))</formula>
    </cfRule>
    <cfRule type="containsText" dxfId="310" priority="56" operator="containsText" text="Minimally Successful">
      <formula>NOT(ISERROR(SEARCH("Minimally Successful",C9)))</formula>
    </cfRule>
    <cfRule type="containsText" dxfId="309" priority="57" operator="containsText" text="Fully Successful">
      <formula>NOT(ISERROR(SEARCH("Fully Successful",C9)))</formula>
    </cfRule>
  </conditionalFormatting>
  <conditionalFormatting sqref="E7">
    <cfRule type="cellIs" dxfId="288" priority="24" operator="notEqual">
      <formula>1</formula>
    </cfRule>
  </conditionalFormatting>
  <conditionalFormatting sqref="H3">
    <cfRule type="cellIs" dxfId="276" priority="68" operator="notEqual">
      <formula>1</formula>
    </cfRule>
  </conditionalFormatting>
  <conditionalFormatting sqref="H4">
    <cfRule type="cellIs" dxfId="275" priority="61" operator="notEqual">
      <formula>1</formula>
    </cfRule>
  </conditionalFormatting>
  <conditionalFormatting sqref="H5">
    <cfRule type="cellIs" dxfId="274" priority="67" operator="notEqual">
      <formula>1</formula>
    </cfRule>
  </conditionalFormatting>
  <conditionalFormatting sqref="H6">
    <cfRule type="cellIs" dxfId="273" priority="66" operator="notEqual">
      <formula>1</formula>
    </cfRule>
  </conditionalFormatting>
  <conditionalFormatting sqref="H7">
    <cfRule type="cellIs" dxfId="272" priority="65" operator="notEqual">
      <formula>1</formula>
    </cfRule>
  </conditionalFormatting>
  <conditionalFormatting sqref="H8">
    <cfRule type="cellIs" dxfId="271" priority="64" operator="notEqual">
      <formula>1</formula>
    </cfRule>
  </conditionalFormatting>
  <conditionalFormatting sqref="H9">
    <cfRule type="cellIs" dxfId="270" priority="62" operator="notEqual">
      <formula>1</formula>
    </cfRule>
  </conditionalFormatting>
  <conditionalFormatting sqref="J19">
    <cfRule type="beginsWith" dxfId="269" priority="45" operator="beginsWith" text="Fulfilled">
      <formula>LEFT(J19,LEN("Fulfilled"))="Fulfilled"</formula>
    </cfRule>
    <cfRule type="containsText" dxfId="268" priority="46" operator="containsText" text="Not Fulfilled">
      <formula>NOT(ISERROR(SEARCH("Not Fulfilled",J19)))</formula>
    </cfRule>
    <cfRule type="containsText" dxfId="267" priority="47" operator="containsText" text="Exceptional">
      <formula>NOT(ISERROR(SEARCH("Exceptional",J19)))</formula>
    </cfRule>
    <cfRule type="beginsWith" dxfId="266" priority="48" operator="beginsWith" text="Fully Successful">
      <formula>LEFT(J19,LEN("Fully Successful"))="Fully Successful"</formula>
    </cfRule>
    <cfRule type="beginsWith" dxfId="265" priority="49" operator="beginsWith" text="Not Fully Successful">
      <formula>LEFT(J19,LEN("Not Fully Successful"))="Not Fully Successful"</formula>
    </cfRule>
  </conditionalFormatting>
  <conditionalFormatting sqref="L2 Q2 S2">
    <cfRule type="beginsWith" dxfId="264" priority="50" operator="beginsWith" text="Fulfilled">
      <formula>LEFT(L2,LEN("Fulfilled"))="Fulfilled"</formula>
    </cfRule>
    <cfRule type="containsText" dxfId="263" priority="51" operator="containsText" text="Not Fulfilled">
      <formula>NOT(ISERROR(SEARCH("Not Fulfilled",L2)))</formula>
    </cfRule>
    <cfRule type="containsText" dxfId="262" priority="52" operator="containsText" text="Exceptional">
      <formula>NOT(ISERROR(SEARCH("Exceptional",L2)))</formula>
    </cfRule>
    <cfRule type="beginsWith" dxfId="261" priority="53" operator="beginsWith" text="Fully Successful">
      <formula>LEFT(L2,LEN("Fully Successful"))="Fully Successful"</formula>
    </cfRule>
    <cfRule type="beginsWith" dxfId="260" priority="54" operator="beginsWith" text="Not Fully Successful">
      <formula>LEFT(L2,LEN("Not Fully Successful"))="Not Fully Successful"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44" operator="greaterThan" id="{DF2E5F1B-2D65-4BF9-8817-0C92ED5621CF}">
            <xm:f>SetUp!C7</xm:f>
            <x14:dxf>
              <font>
                <color auto="1"/>
              </font>
              <fill>
                <patternFill>
                  <bgColor rgb="FFFF0000"/>
                </patternFill>
              </fill>
            </x14:dxf>
          </x14:cfRule>
          <x14:cfRule type="cellIs" priority="43" operator="lessThanOrEqual" id="{D7C95535-9A60-4BC9-831B-693F5A5B2A10}">
            <xm:f>SetUp!C7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14:cfRule type="cellIs" priority="42" operator="lessThanOrEqual" id="{F6FC607A-83A4-419A-B2F6-BDD699652959}">
            <xm:f>SetUp!D7</xm:f>
            <x14:dxf>
              <font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m:sqref>C3</xm:sqref>
        </x14:conditionalFormatting>
        <x14:conditionalFormatting xmlns:xm="http://schemas.microsoft.com/office/excel/2006/main">
          <x14:cfRule type="cellIs" priority="39" stopIfTrue="1" operator="greaterThanOrEqual" id="{3CEBA955-81CB-4313-B7E7-F07691901C87}">
            <xm:f>SetUp!D8</xm:f>
            <x14:dxf>
              <font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ellIs" priority="40" operator="greaterThanOrEqual" id="{30F9B40F-8837-45A9-8A63-14B82FD52345}">
            <xm:f>SetUp!C8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14:cfRule type="cellIs" priority="41" operator="lessThan" id="{BB2EB873-99F2-4997-8881-FFF32CD476BD}">
            <xm:f>SetUp!C8</xm:f>
            <x14:dxf>
              <font>
                <color auto="1"/>
              </font>
              <fill>
                <patternFill>
                  <bgColor rgb="FFFF0000"/>
                </patternFill>
              </fill>
            </x14:dxf>
          </x14:cfRule>
          <xm:sqref>C4</xm:sqref>
        </x14:conditionalFormatting>
        <x14:conditionalFormatting xmlns:xm="http://schemas.microsoft.com/office/excel/2006/main">
          <x14:cfRule type="cellIs" priority="38" operator="lessThan" id="{8CB5E85A-D84F-4B45-A8C5-84BDCBD14754}">
            <xm:f>SetUp!C12</xm:f>
            <x14:dxf>
              <font>
                <color theme="1"/>
              </font>
              <fill>
                <patternFill>
                  <bgColor theme="7" tint="0.79998168889431442"/>
                </patternFill>
              </fill>
            </x14:dxf>
          </x14:cfRule>
          <xm:sqref>C5</xm:sqref>
        </x14:conditionalFormatting>
        <x14:conditionalFormatting xmlns:xm="http://schemas.microsoft.com/office/excel/2006/main">
          <x14:cfRule type="cellIs" priority="3" operator="greaterThanOrEqual" id="{899FF8FD-F830-41A1-A12F-1F89F81AE9E0}">
            <xm:f>SetUp!C12</xm:f>
            <x14:dxf>
              <font>
                <color theme="0"/>
              </font>
              <fill>
                <patternFill>
                  <bgColor theme="7" tint="-0.24994659260841701"/>
                </patternFill>
              </fill>
            </x14:dxf>
          </x14:cfRule>
          <xm:sqref>C5:C7</xm:sqref>
        </x14:conditionalFormatting>
        <x14:conditionalFormatting xmlns:xm="http://schemas.microsoft.com/office/excel/2006/main">
          <x14:cfRule type="cellIs" priority="15" operator="lessThan" id="{D321F64A-C5F5-4C81-B4CC-4E6312DBD05C}">
            <xm:f>SetUp!C13</xm:f>
            <x14:dxf>
              <fill>
                <patternFill>
                  <bgColor theme="7" tint="0.79998168889431442"/>
                </patternFill>
              </fill>
            </x14:dxf>
          </x14:cfRule>
          <xm:sqref>C6:C7</xm:sqref>
        </x14:conditionalFormatting>
        <x14:conditionalFormatting xmlns:xm="http://schemas.microsoft.com/office/excel/2006/main">
          <x14:cfRule type="cellIs" priority="36" operator="greaterThanOrEqual" id="{FCAC0304-AD65-4F83-9785-83F5CFAD3D89}">
            <xm:f>SetUp!E7</xm:f>
            <x14:dxf>
              <fill>
                <patternFill>
                  <bgColor theme="9" tint="0.79998168889431442"/>
                </patternFill>
              </fill>
            </x14:dxf>
          </x14:cfRule>
          <x14:cfRule type="cellIs" priority="37" operator="lessThan" id="{C0CCB1A3-0A73-4FC4-95D5-4B583CC3C612}">
            <xm:f>SetUp!E7</xm:f>
            <x14:dxf>
              <fill>
                <patternFill>
                  <bgColor rgb="FFFF0000"/>
                </patternFill>
              </fill>
            </x14:dxf>
          </x14:cfRule>
          <x14:cfRule type="cellIs" priority="35" stopIfTrue="1" operator="greaterThanOrEqual" id="{B8D9CEA9-EF79-4B0B-BC7A-5D0208FB932C}">
            <xm:f>SetUp!F7</xm:f>
            <x14:dxf>
              <font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m:sqref>D3 D5</xm:sqref>
        </x14:conditionalFormatting>
        <x14:conditionalFormatting xmlns:xm="http://schemas.microsoft.com/office/excel/2006/main">
          <x14:cfRule type="cellIs" priority="32" operator="greaterThan" id="{ECB4B9B1-6234-4304-AF90-0EE362ABFD89}">
            <xm:f>SetUp!E8</xm:f>
            <x14:dxf>
              <fill>
                <patternFill>
                  <bgColor rgb="FFFF0000"/>
                </patternFill>
              </fill>
            </x14:dxf>
          </x14:cfRule>
          <x14:cfRule type="cellIs" priority="33" stopIfTrue="1" operator="lessThanOrEqual" id="{22939BC1-C5CB-46D1-9C49-8386F38F74D1}">
            <xm:f>SetUp!F8</xm:f>
            <x14:dxf>
              <font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ellIs" priority="34" operator="lessThanOrEqual" id="{0651CC3C-1CEE-40F2-8D3C-6E5F2DA09D41}">
            <xm:f>SetUp!E8</xm:f>
            <x14:dxf>
              <fill>
                <patternFill>
                  <bgColor theme="9" tint="0.79998168889431442"/>
                </patternFill>
              </fill>
            </x14:dxf>
          </x14:cfRule>
          <xm:sqref>D4</xm:sqref>
        </x14:conditionalFormatting>
        <x14:conditionalFormatting xmlns:xm="http://schemas.microsoft.com/office/excel/2006/main">
          <x14:cfRule type="cellIs" priority="17" operator="lessThan" id="{18A177A5-6D50-4353-9E1E-4868ADD32C88}">
            <xm:f>SetUp!E13</xm:f>
            <x14:dxf>
              <fill>
                <patternFill>
                  <bgColor theme="7" tint="0.79998168889431442"/>
                </patternFill>
              </fill>
            </x14:dxf>
          </x14:cfRule>
          <x14:cfRule type="cellIs" priority="18" operator="greaterThanOrEqual" id="{E00980AA-A050-486C-A97E-5FBE5B0170AF}">
            <xm:f>SetUp!E13</xm:f>
            <x14:dxf>
              <font>
                <color theme="0"/>
              </font>
              <fill>
                <patternFill>
                  <bgColor theme="7" tint="-0.24994659260841701"/>
                </patternFill>
              </fill>
            </x14:dxf>
          </x14:cfRule>
          <xm:sqref>D6</xm:sqref>
        </x14:conditionalFormatting>
        <x14:conditionalFormatting xmlns:xm="http://schemas.microsoft.com/office/excel/2006/main">
          <x14:cfRule type="cellIs" priority="13" operator="greaterThanOrEqual" id="{0A058CB5-EAF9-44FD-9EAA-5FD90D26E33E}">
            <xm:f>SetUp!$E$14</xm:f>
            <x14:dxf>
              <font>
                <color theme="0"/>
              </font>
              <fill>
                <patternFill>
                  <bgColor theme="7" tint="-0.24994659260841701"/>
                </patternFill>
              </fill>
            </x14:dxf>
          </x14:cfRule>
          <x14:cfRule type="cellIs" priority="14" operator="lessThan" id="{64A79841-119D-48CE-A934-BB05637CB5C6}">
            <xm:f>SetUp!$E$14</xm:f>
            <x14:dxf>
              <fill>
                <patternFill>
                  <bgColor theme="7" tint="0.79998168889431442"/>
                </patternFill>
              </fill>
            </x14:dxf>
          </x14:cfRule>
          <xm:sqref>D7</xm:sqref>
        </x14:conditionalFormatting>
        <x14:conditionalFormatting xmlns:xm="http://schemas.microsoft.com/office/excel/2006/main">
          <x14:cfRule type="cellIs" priority="29" operator="lessThan" id="{FB6D78F6-1AA6-40E3-8B94-6080D5BD13CA}">
            <xm:f>SetUp!G7</xm:f>
            <x14:dxf>
              <fill>
                <patternFill>
                  <bgColor rgb="FFFF0000"/>
                </patternFill>
              </fill>
            </x14:dxf>
          </x14:cfRule>
          <x14:cfRule type="cellIs" priority="30" stopIfTrue="1" operator="greaterThanOrEqual" id="{BDB94C45-C2E4-4FBB-8109-69B9DF2A8B4C}">
            <xm:f>SetUp!H7</xm:f>
            <x14:dxf>
              <font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ellIs" priority="31" operator="greaterThanOrEqual" id="{1499B60E-3453-4DED-A083-823B326FB7B2}">
            <xm:f>SetUp!G7</xm:f>
            <x14:dxf>
              <fill>
                <patternFill>
                  <bgColor theme="9" tint="0.79998168889431442"/>
                </patternFill>
              </fill>
            </x14:dxf>
          </x14:cfRule>
          <xm:sqref>E3</xm:sqref>
        </x14:conditionalFormatting>
        <x14:conditionalFormatting xmlns:xm="http://schemas.microsoft.com/office/excel/2006/main">
          <x14:cfRule type="cellIs" priority="26" operator="greaterThan" id="{EFD6516F-E199-4903-AC0A-CB9984D288D9}">
            <xm:f>SetUp!G8</xm:f>
            <x14:dxf>
              <fill>
                <patternFill>
                  <bgColor rgb="FFFF0000"/>
                </patternFill>
              </fill>
            </x14:dxf>
          </x14:cfRule>
          <x14:cfRule type="cellIs" priority="27" operator="lessThanOrEqual" id="{0A053709-8B3C-4C09-8133-DAC1D2ED7623}">
            <xm:f>SetUp!H8</xm:f>
            <x14:dxf>
              <font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ellIs" priority="28" operator="lessThanOrEqual" id="{BA572769-8147-4149-93FF-C827D099BF39}">
            <xm:f>SetUp!G8</xm:f>
            <x14:dxf>
              <fill>
                <patternFill>
                  <bgColor theme="9" tint="0.79998168889431442"/>
                </patternFill>
              </fill>
            </x14:dxf>
          </x14:cfRule>
          <xm:sqref>E4</xm:sqref>
        </x14:conditionalFormatting>
        <x14:conditionalFormatting xmlns:xm="http://schemas.microsoft.com/office/excel/2006/main">
          <x14:cfRule type="cellIs" priority="25" operator="lessThan" id="{57ED56CB-1E17-4542-A131-9BD862D996E5}">
            <xm:f>SetUp!G12</xm:f>
            <x14:dxf>
              <fill>
                <patternFill>
                  <bgColor theme="7" tint="0.79998168889431442"/>
                </patternFill>
              </fill>
            </x14:dxf>
          </x14:cfRule>
          <x14:cfRule type="cellIs" priority="16" operator="greaterThanOrEqual" id="{033C69A5-20F5-4CDA-A756-752C90611256}">
            <xm:f>SetUp!G12</xm:f>
            <x14:dxf>
              <font>
                <color theme="0"/>
              </font>
              <fill>
                <patternFill>
                  <bgColor theme="7" tint="-0.24994659260841701"/>
                </patternFill>
              </fill>
            </x14:dxf>
          </x14:cfRule>
          <xm:sqref>E5</xm:sqref>
        </x14:conditionalFormatting>
        <x14:conditionalFormatting xmlns:xm="http://schemas.microsoft.com/office/excel/2006/main">
          <x14:cfRule type="cellIs" priority="1" operator="greaterThanOrEqual" id="{11DB3F7C-D3E6-4B9F-B2B5-2F01081826DD}">
            <xm:f>SetUp!$G$13</xm:f>
            <x14:dxf>
              <font>
                <color theme="0"/>
              </font>
              <fill>
                <patternFill>
                  <bgColor theme="7" tint="-0.24994659260841701"/>
                </patternFill>
              </fill>
            </x14:dxf>
          </x14:cfRule>
          <x14:cfRule type="cellIs" priority="2" operator="lessThan" id="{A672B027-11DB-496B-A28D-19A682562258}">
            <xm:f>SetUp!$G$13</xm:f>
            <x14:dxf>
              <fill>
                <patternFill>
                  <bgColor theme="7" tint="0.79998168889431442"/>
                </patternFill>
              </fill>
            </x14:dxf>
          </x14:cfRule>
          <xm:sqref>E6</xm:sqref>
        </x14:conditionalFormatting>
        <x14:conditionalFormatting xmlns:xm="http://schemas.microsoft.com/office/excel/2006/main">
          <x14:cfRule type="cellIs" priority="21" operator="lessThan" id="{94CCB118-4BE8-4D33-99B3-AA07D2D9F37F}">
            <xm:f>SetUp!I7</xm:f>
            <x14:dxf>
              <fill>
                <patternFill>
                  <bgColor rgb="FFFF0000"/>
                </patternFill>
              </fill>
            </x14:dxf>
          </x14:cfRule>
          <x14:cfRule type="cellIs" priority="23" operator="greaterThanOrEqual" id="{78E16009-02EF-499F-A7D8-C0FEE91E8DF9}">
            <xm:f>SetUp!I7</xm:f>
            <x14:dxf>
              <fill>
                <patternFill>
                  <bgColor theme="9" tint="0.79998168889431442"/>
                </patternFill>
              </fill>
            </x14:dxf>
          </x14:cfRule>
          <x14:cfRule type="cellIs" priority="22" operator="equal" id="{6086B99B-2D21-4501-8059-0EC84C030CF7}">
            <xm:f>SetUp!J7</xm:f>
            <x14:dxf>
              <font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m:sqref>F3</xm:sqref>
        </x14:conditionalFormatting>
        <x14:conditionalFormatting xmlns:xm="http://schemas.microsoft.com/office/excel/2006/main">
          <x14:cfRule type="cellIs" priority="20" operator="greaterThan" id="{21F31AC1-506E-4B20-BF16-BB05F4E76516}">
            <xm:f>SetUp!I11</xm:f>
            <x14:dxf>
              <fill>
                <patternFill>
                  <bgColor theme="7" tint="0.79998168889431442"/>
                </patternFill>
              </fill>
            </x14:dxf>
          </x14:cfRule>
          <x14:cfRule type="cellIs" priority="19" operator="lessThanOrEqual" id="{2F6DF13E-6577-4D29-A848-8E179267B2EF}">
            <xm:f>SetUp!I11</xm:f>
            <x14:dxf>
              <font>
                <color theme="0"/>
              </font>
              <fill>
                <patternFill>
                  <bgColor theme="7" tint="-0.24994659260841701"/>
                </patternFill>
              </fill>
            </x14:dxf>
          </x14:cfRule>
          <xm:sqref>F4</xm:sqref>
        </x14:conditionalFormatting>
        <x14:conditionalFormatting xmlns:xm="http://schemas.microsoft.com/office/excel/2006/main">
          <x14:cfRule type="cellIs" priority="12" operator="greaterThanOrEqual" id="{086FAC8B-0B7F-424A-8353-C5C09004155D}">
            <xm:f>SetUp!$I$12</xm:f>
            <x14:dxf>
              <font>
                <color theme="0"/>
              </font>
              <fill>
                <patternFill>
                  <bgColor theme="7" tint="-0.24994659260841701"/>
                </patternFill>
              </fill>
            </x14:dxf>
          </x14:cfRule>
          <x14:cfRule type="cellIs" priority="11" operator="lessThan" id="{7F7FC47B-7127-4325-9AF5-4C379A3258A4}">
            <xm:f>SetUp!$I$12</xm:f>
            <x14:dxf>
              <fill>
                <patternFill>
                  <bgColor theme="7" tint="0.79998168889431442"/>
                </patternFill>
              </fill>
            </x14:dxf>
          </x14:cfRule>
          <xm:sqref>F5</xm:sqref>
        </x14:conditionalFormatting>
        <x14:conditionalFormatting xmlns:xm="http://schemas.microsoft.com/office/excel/2006/main">
          <x14:cfRule type="cellIs" priority="9" operator="lessThan" id="{CA05442D-3140-4DBC-A04C-7E3FA567C03C}">
            <xm:f>SetUp!$I$13</xm:f>
            <x14:dxf>
              <fill>
                <patternFill>
                  <bgColor theme="7" tint="0.79998168889431442"/>
                </patternFill>
              </fill>
            </x14:dxf>
          </x14:cfRule>
          <x14:cfRule type="cellIs" priority="10" operator="greaterThanOrEqual" id="{B206BA7C-8B3A-4140-BDFB-8240C557DC75}">
            <xm:f>SetUp!$I$13</xm:f>
            <x14:dxf>
              <font>
                <color theme="0"/>
              </font>
              <fill>
                <patternFill>
                  <bgColor theme="7" tint="-0.24994659260841701"/>
                </patternFill>
              </fill>
            </x14:dxf>
          </x14:cfRule>
          <xm:sqref>F6</xm:sqref>
        </x14:conditionalFormatting>
        <x14:conditionalFormatting xmlns:xm="http://schemas.microsoft.com/office/excel/2006/main">
          <x14:cfRule type="cellIs" priority="8" operator="greaterThanOrEqual" id="{2B729B94-AD0E-4FE5-B735-13BA46E833A9}">
            <xm:f>SetUp!$I$14</xm:f>
            <x14:dxf>
              <font>
                <color theme="0"/>
              </font>
              <fill>
                <patternFill>
                  <bgColor theme="7" tint="-0.24994659260841701"/>
                </patternFill>
              </fill>
            </x14:dxf>
          </x14:cfRule>
          <x14:cfRule type="cellIs" priority="7" operator="lessThan" id="{D945B4B9-7DD5-49BC-B369-65166F84E359}">
            <xm:f>SetUp!$I$14</xm:f>
            <x14:dxf>
              <fill>
                <patternFill>
                  <bgColor theme="7" tint="0.79998168889431442"/>
                </patternFill>
              </fill>
            </x14:dxf>
          </x14:cfRule>
          <xm:sqref>F7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F697F-BD26-443B-A135-D61F95D1FDAB}">
  <dimension ref="A1:W60"/>
  <sheetViews>
    <sheetView workbookViewId="0">
      <selection activeCell="L31" sqref="L31"/>
    </sheetView>
  </sheetViews>
  <sheetFormatPr defaultColWidth="12" defaultRowHeight="14.5" x14ac:dyDescent="0.35"/>
  <cols>
    <col min="1" max="1" width="4.1796875" style="13" customWidth="1"/>
    <col min="2" max="2" width="12.81640625" style="13" bestFit="1" customWidth="1"/>
    <col min="3" max="5" width="15.54296875" style="13" bestFit="1" customWidth="1"/>
    <col min="6" max="6" width="14.81640625" style="13" customWidth="1"/>
    <col min="7" max="7" width="7.81640625" style="13" bestFit="1" customWidth="1"/>
    <col min="8" max="8" width="6.1796875" style="13" bestFit="1" customWidth="1"/>
    <col min="9" max="9" width="15.54296875" style="13" bestFit="1" customWidth="1"/>
    <col min="10" max="10" width="6.7265625" style="13" bestFit="1" customWidth="1"/>
    <col min="11" max="11" width="14.1796875" style="13" customWidth="1"/>
    <col min="12" max="12" width="14.453125" style="13" customWidth="1"/>
    <col min="13" max="13" width="13.7265625" style="13" customWidth="1"/>
    <col min="14" max="14" width="15.54296875" style="13" customWidth="1"/>
    <col min="15" max="15" width="13.7265625" style="13" customWidth="1"/>
    <col min="16" max="16" width="14.453125" style="13" customWidth="1"/>
    <col min="17" max="17" width="12" style="13" customWidth="1"/>
    <col min="18" max="18" width="15.1796875" style="13" customWidth="1"/>
    <col min="19" max="19" width="12.81640625" style="13" customWidth="1"/>
    <col min="20" max="20" width="10.7265625" style="13" bestFit="1" customWidth="1"/>
    <col min="21" max="21" width="14.26953125" style="13" customWidth="1"/>
    <col min="22" max="22" width="4.453125" style="13" customWidth="1"/>
    <col min="23" max="16384" width="12" style="13"/>
  </cols>
  <sheetData>
    <row r="1" spans="1:23" ht="15" thickBot="1" x14ac:dyDescent="0.4">
      <c r="A1" s="34"/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</row>
    <row r="2" spans="1:23" ht="59" thickTop="1" thickBot="1" x14ac:dyDescent="0.4">
      <c r="A2" s="34"/>
      <c r="B2" s="12"/>
      <c r="C2" s="41" t="s">
        <v>43</v>
      </c>
      <c r="D2" s="42" t="s">
        <v>44</v>
      </c>
      <c r="E2" s="42" t="s">
        <v>45</v>
      </c>
      <c r="F2" s="43" t="s">
        <v>3</v>
      </c>
      <c r="G2" s="34"/>
      <c r="H2" s="133" t="s">
        <v>11</v>
      </c>
      <c r="I2" s="134"/>
      <c r="J2" s="34"/>
      <c r="K2" s="14" t="s">
        <v>21</v>
      </c>
      <c r="L2" s="46" t="s">
        <v>186</v>
      </c>
      <c r="M2" s="97" t="s">
        <v>187</v>
      </c>
      <c r="N2" s="97" t="s">
        <v>189</v>
      </c>
      <c r="O2" s="28" t="s">
        <v>190</v>
      </c>
      <c r="P2" s="97" t="s">
        <v>191</v>
      </c>
      <c r="Q2" s="28" t="s">
        <v>194</v>
      </c>
      <c r="R2" s="28" t="s">
        <v>195</v>
      </c>
      <c r="S2" s="28" t="s">
        <v>198</v>
      </c>
      <c r="T2" s="29" t="s">
        <v>25</v>
      </c>
      <c r="U2" s="34"/>
      <c r="V2" s="34"/>
      <c r="W2" s="34"/>
    </row>
    <row r="3" spans="1:23" ht="15" thickTop="1" x14ac:dyDescent="0.35">
      <c r="A3" s="34"/>
      <c r="B3" s="15" t="s">
        <v>4</v>
      </c>
      <c r="C3" s="60">
        <f>L16</f>
        <v>0</v>
      </c>
      <c r="D3" s="61">
        <f>N16</f>
        <v>100</v>
      </c>
      <c r="E3" s="61">
        <f>Q16</f>
        <v>3.9651979454208743</v>
      </c>
      <c r="F3" s="62">
        <f>S16</f>
        <v>100</v>
      </c>
      <c r="G3" s="39"/>
      <c r="H3" s="16"/>
      <c r="I3" s="17" t="s">
        <v>41</v>
      </c>
      <c r="J3" s="34"/>
      <c r="K3" s="45">
        <v>10</v>
      </c>
      <c r="L3" s="47">
        <v>0</v>
      </c>
      <c r="M3" s="48">
        <v>0</v>
      </c>
      <c r="N3" s="48">
        <v>0</v>
      </c>
      <c r="O3" s="48">
        <v>0</v>
      </c>
      <c r="P3" s="48">
        <v>0</v>
      </c>
      <c r="Q3" s="48">
        <v>506</v>
      </c>
      <c r="R3" s="48">
        <v>0</v>
      </c>
      <c r="S3" s="48">
        <v>0</v>
      </c>
      <c r="T3" s="49">
        <v>1</v>
      </c>
      <c r="U3" s="34"/>
      <c r="V3" s="34"/>
      <c r="W3" s="34"/>
    </row>
    <row r="4" spans="1:23" ht="15" thickBot="1" x14ac:dyDescent="0.4">
      <c r="A4" s="34"/>
      <c r="B4" s="15" t="s">
        <v>5</v>
      </c>
      <c r="C4" s="73">
        <f>M16</f>
        <v>100</v>
      </c>
      <c r="D4" s="61">
        <f>O16</f>
        <v>5.2872752908001405E-2</v>
      </c>
      <c r="E4" s="74">
        <f>R15</f>
        <v>0</v>
      </c>
      <c r="F4" s="72">
        <f>R34</f>
        <v>0</v>
      </c>
      <c r="G4" s="34"/>
      <c r="H4" s="16"/>
      <c r="I4" s="17" t="s">
        <v>42</v>
      </c>
      <c r="J4" s="34"/>
      <c r="K4" s="18">
        <v>11</v>
      </c>
      <c r="L4" s="50">
        <v>0</v>
      </c>
      <c r="M4" s="51">
        <v>0</v>
      </c>
      <c r="N4" s="51">
        <v>0</v>
      </c>
      <c r="O4" s="51">
        <v>0</v>
      </c>
      <c r="P4" s="51">
        <v>0</v>
      </c>
      <c r="Q4" s="51">
        <v>592</v>
      </c>
      <c r="R4" s="51">
        <v>0</v>
      </c>
      <c r="S4" s="51">
        <v>0</v>
      </c>
      <c r="T4" s="52">
        <v>2</v>
      </c>
      <c r="U4" s="34"/>
      <c r="V4" s="34"/>
      <c r="W4" s="34"/>
    </row>
    <row r="5" spans="1:23" ht="15.5" thickTop="1" thickBot="1" x14ac:dyDescent="0.4">
      <c r="A5" s="34"/>
      <c r="B5" s="15" t="s">
        <v>6</v>
      </c>
      <c r="C5" s="69">
        <f>K34</f>
        <v>0</v>
      </c>
      <c r="D5" s="74">
        <f>P16</f>
        <v>100</v>
      </c>
      <c r="E5" s="70">
        <f>P34</f>
        <v>7</v>
      </c>
      <c r="F5" s="71">
        <f>S34</f>
        <v>0</v>
      </c>
      <c r="G5" s="34"/>
      <c r="H5" s="16"/>
      <c r="I5" s="17" t="s">
        <v>9</v>
      </c>
      <c r="J5" s="34"/>
      <c r="K5" s="18">
        <v>12</v>
      </c>
      <c r="L5" s="50">
        <v>0</v>
      </c>
      <c r="M5" s="51">
        <v>0</v>
      </c>
      <c r="N5" s="51">
        <v>0</v>
      </c>
      <c r="O5" s="51">
        <v>0</v>
      </c>
      <c r="P5" s="51">
        <v>0</v>
      </c>
      <c r="Q5" s="51">
        <v>307</v>
      </c>
      <c r="R5" s="51">
        <v>0</v>
      </c>
      <c r="S5" s="51">
        <v>0</v>
      </c>
      <c r="T5" s="52">
        <v>6</v>
      </c>
      <c r="U5" s="34"/>
      <c r="V5" s="34"/>
      <c r="W5" s="34"/>
    </row>
    <row r="6" spans="1:23" ht="15" thickTop="1" x14ac:dyDescent="0.35">
      <c r="A6" s="34"/>
      <c r="B6" s="15" t="s">
        <v>7</v>
      </c>
      <c r="C6" s="63">
        <f>L34</f>
        <v>5</v>
      </c>
      <c r="D6" s="70">
        <f>N34</f>
        <v>0</v>
      </c>
      <c r="E6" s="64">
        <f>Q34</f>
        <v>1</v>
      </c>
      <c r="F6" s="65">
        <f>T34</f>
        <v>1</v>
      </c>
      <c r="G6" s="34"/>
      <c r="H6" s="16"/>
      <c r="I6" s="17" t="s">
        <v>10</v>
      </c>
      <c r="J6" s="34"/>
      <c r="K6" s="18">
        <v>1</v>
      </c>
      <c r="L6" s="50">
        <v>0</v>
      </c>
      <c r="M6" s="51">
        <v>0</v>
      </c>
      <c r="N6" s="51">
        <v>0</v>
      </c>
      <c r="O6" s="51">
        <v>1</v>
      </c>
      <c r="P6" s="51">
        <v>0</v>
      </c>
      <c r="Q6" s="51">
        <v>469</v>
      </c>
      <c r="R6" s="51">
        <v>0</v>
      </c>
      <c r="S6" s="51">
        <v>0</v>
      </c>
      <c r="T6" s="52">
        <v>3</v>
      </c>
      <c r="U6" s="34"/>
      <c r="V6" s="34"/>
      <c r="W6" s="34"/>
    </row>
    <row r="7" spans="1:23" ht="15" thickBot="1" x14ac:dyDescent="0.4">
      <c r="A7" s="34"/>
      <c r="B7" s="19" t="s">
        <v>8</v>
      </c>
      <c r="C7" s="66">
        <f>M34</f>
        <v>0</v>
      </c>
      <c r="D7" s="67">
        <f>O34</f>
        <v>1</v>
      </c>
      <c r="E7" s="67"/>
      <c r="F7" s="68">
        <f>U34</f>
        <v>0</v>
      </c>
      <c r="G7" s="34"/>
      <c r="H7" s="16"/>
      <c r="I7" s="17" t="s">
        <v>14</v>
      </c>
      <c r="J7" s="34"/>
      <c r="K7" s="18">
        <v>2</v>
      </c>
      <c r="L7" s="50">
        <v>0</v>
      </c>
      <c r="M7" s="51">
        <v>0</v>
      </c>
      <c r="N7" s="51">
        <v>0</v>
      </c>
      <c r="O7" s="51">
        <v>0</v>
      </c>
      <c r="P7" s="51">
        <v>0</v>
      </c>
      <c r="Q7" s="51">
        <v>417</v>
      </c>
      <c r="R7" s="51">
        <v>0</v>
      </c>
      <c r="S7" s="51">
        <v>0</v>
      </c>
      <c r="T7" s="52">
        <v>0</v>
      </c>
      <c r="U7" s="34"/>
      <c r="V7" s="34"/>
      <c r="W7" s="34"/>
    </row>
    <row r="8" spans="1:23" ht="20.25" customHeight="1" thickTop="1" thickBot="1" x14ac:dyDescent="0.4">
      <c r="A8" s="34"/>
      <c r="B8" s="20" t="s">
        <v>12</v>
      </c>
      <c r="C8" s="21" t="str">
        <f>K42</f>
        <v>Exceptional</v>
      </c>
      <c r="D8" s="21" t="str">
        <f>L42</f>
        <v>Exceptional</v>
      </c>
      <c r="E8" s="21" t="str">
        <f>M42</f>
        <v>Exceptional</v>
      </c>
      <c r="F8" s="21" t="str">
        <f>N42</f>
        <v>Exceptional</v>
      </c>
      <c r="G8" s="34"/>
      <c r="H8" s="22"/>
      <c r="I8" s="23" t="s">
        <v>13</v>
      </c>
      <c r="J8" s="34"/>
      <c r="K8" s="18">
        <v>3</v>
      </c>
      <c r="L8" s="50">
        <v>0</v>
      </c>
      <c r="M8" s="51">
        <v>0</v>
      </c>
      <c r="N8" s="51">
        <v>0</v>
      </c>
      <c r="O8" s="51">
        <v>1</v>
      </c>
      <c r="P8" s="51">
        <v>0</v>
      </c>
      <c r="Q8" s="51">
        <v>539</v>
      </c>
      <c r="R8" s="51">
        <v>0</v>
      </c>
      <c r="S8" s="51">
        <v>0</v>
      </c>
      <c r="T8" s="52">
        <v>3</v>
      </c>
      <c r="U8" s="34"/>
      <c r="V8" s="34"/>
      <c r="W8" s="34"/>
    </row>
    <row r="9" spans="1:23" ht="15" thickTop="1" x14ac:dyDescent="0.35">
      <c r="A9" s="34"/>
      <c r="B9" s="135" t="s">
        <v>31</v>
      </c>
      <c r="C9" s="137" t="str">
        <f>N44</f>
        <v>OutStanding</v>
      </c>
      <c r="D9" s="138"/>
      <c r="E9" s="138"/>
      <c r="F9" s="139"/>
      <c r="G9" s="34"/>
      <c r="H9" s="22"/>
      <c r="I9" s="23" t="s">
        <v>40</v>
      </c>
      <c r="J9" s="34"/>
      <c r="K9" s="18">
        <v>4</v>
      </c>
      <c r="L9" s="50">
        <v>0</v>
      </c>
      <c r="M9" s="51">
        <v>0</v>
      </c>
      <c r="N9" s="51">
        <v>0</v>
      </c>
      <c r="O9" s="51">
        <v>0</v>
      </c>
      <c r="P9" s="51">
        <v>0</v>
      </c>
      <c r="Q9" s="51">
        <v>441</v>
      </c>
      <c r="R9" s="51">
        <v>0</v>
      </c>
      <c r="S9" s="51">
        <v>0</v>
      </c>
      <c r="T9" s="52">
        <v>1</v>
      </c>
      <c r="U9" s="34"/>
      <c r="V9" s="34"/>
      <c r="W9" s="34"/>
    </row>
    <row r="10" spans="1:23" ht="15" thickBot="1" x14ac:dyDescent="0.4">
      <c r="A10" s="34"/>
      <c r="B10" s="136"/>
      <c r="C10" s="140"/>
      <c r="D10" s="141"/>
      <c r="E10" s="141"/>
      <c r="F10" s="142"/>
      <c r="G10" s="34"/>
      <c r="H10" s="24" t="s">
        <v>46</v>
      </c>
      <c r="I10" s="25" t="s">
        <v>47</v>
      </c>
      <c r="J10" s="34"/>
      <c r="K10" s="18">
        <v>5</v>
      </c>
      <c r="L10" s="50">
        <v>0</v>
      </c>
      <c r="M10" s="51">
        <v>0</v>
      </c>
      <c r="N10" s="51">
        <v>0</v>
      </c>
      <c r="O10" s="51">
        <v>0</v>
      </c>
      <c r="P10" s="51">
        <v>0</v>
      </c>
      <c r="Q10" s="51">
        <v>279</v>
      </c>
      <c r="R10" s="51">
        <v>0</v>
      </c>
      <c r="S10" s="51">
        <v>0</v>
      </c>
      <c r="T10" s="52"/>
      <c r="U10" s="34"/>
      <c r="V10" s="34"/>
      <c r="W10" s="34"/>
    </row>
    <row r="11" spans="1:23" s="26" customFormat="1" ht="15.5" thickTop="1" thickBot="1" x14ac:dyDescent="0.4">
      <c r="A11" s="34"/>
      <c r="B11" s="34"/>
      <c r="C11" s="40"/>
      <c r="D11" s="40"/>
      <c r="E11" s="40"/>
      <c r="F11" s="40"/>
      <c r="G11" s="34"/>
      <c r="H11" s="34"/>
      <c r="I11" s="34"/>
      <c r="J11" s="34"/>
      <c r="K11" s="18">
        <v>6</v>
      </c>
      <c r="L11" s="50">
        <v>0</v>
      </c>
      <c r="M11" s="51">
        <v>0</v>
      </c>
      <c r="N11" s="51">
        <v>0</v>
      </c>
      <c r="O11" s="51">
        <v>1</v>
      </c>
      <c r="P11" s="51">
        <v>0</v>
      </c>
      <c r="Q11" s="51">
        <v>1258</v>
      </c>
      <c r="R11" s="51">
        <v>0</v>
      </c>
      <c r="S11" s="51">
        <v>0</v>
      </c>
      <c r="T11" s="52"/>
      <c r="U11" s="34"/>
      <c r="V11" s="34"/>
      <c r="W11" s="34"/>
    </row>
    <row r="12" spans="1:23" ht="15.5" thickTop="1" thickBot="1" x14ac:dyDescent="0.4">
      <c r="A12" s="34"/>
      <c r="B12" s="14" t="s">
        <v>22</v>
      </c>
      <c r="C12" s="27" t="s">
        <v>15</v>
      </c>
      <c r="D12" s="28" t="s">
        <v>16</v>
      </c>
      <c r="E12" s="28" t="s">
        <v>17</v>
      </c>
      <c r="F12" s="28" t="s">
        <v>18</v>
      </c>
      <c r="G12" s="28" t="s">
        <v>19</v>
      </c>
      <c r="H12" s="29" t="s">
        <v>20</v>
      </c>
      <c r="I12" s="34"/>
      <c r="J12" s="34"/>
      <c r="K12" s="18">
        <v>7</v>
      </c>
      <c r="L12" s="50">
        <v>0</v>
      </c>
      <c r="M12" s="51">
        <v>0</v>
      </c>
      <c r="N12" s="51">
        <v>0</v>
      </c>
      <c r="O12" s="51">
        <v>0</v>
      </c>
      <c r="P12" s="51">
        <v>0</v>
      </c>
      <c r="Q12" s="51">
        <v>866</v>
      </c>
      <c r="R12" s="51">
        <v>0</v>
      </c>
      <c r="S12" s="51">
        <v>0</v>
      </c>
      <c r="T12" s="52"/>
      <c r="U12" s="34"/>
      <c r="V12" s="34"/>
      <c r="W12" s="34"/>
    </row>
    <row r="13" spans="1:23" ht="15" thickTop="1" x14ac:dyDescent="0.35">
      <c r="A13" s="34"/>
      <c r="B13" s="12">
        <v>20</v>
      </c>
      <c r="C13" s="47">
        <v>64</v>
      </c>
      <c r="D13" s="48">
        <v>1.25</v>
      </c>
      <c r="E13" s="48">
        <v>8</v>
      </c>
      <c r="F13" s="48">
        <v>0</v>
      </c>
      <c r="G13" s="48">
        <v>8</v>
      </c>
      <c r="H13" s="49">
        <v>0</v>
      </c>
      <c r="I13" s="34"/>
      <c r="J13" s="34"/>
      <c r="K13" s="18">
        <v>8</v>
      </c>
      <c r="L13" s="50"/>
      <c r="M13" s="51"/>
      <c r="N13" s="51"/>
      <c r="O13" s="51"/>
      <c r="P13" s="51"/>
      <c r="Q13" s="51"/>
      <c r="R13" s="51"/>
      <c r="S13" s="51"/>
      <c r="T13" s="52"/>
      <c r="U13" s="34"/>
      <c r="V13" s="34"/>
      <c r="W13" s="34"/>
    </row>
    <row r="14" spans="1:23" ht="15" thickBot="1" x14ac:dyDescent="0.4">
      <c r="A14" s="34"/>
      <c r="B14" s="30">
        <v>21</v>
      </c>
      <c r="C14" s="50">
        <v>69.5</v>
      </c>
      <c r="D14" s="51">
        <v>0.5</v>
      </c>
      <c r="E14" s="51">
        <v>0</v>
      </c>
      <c r="F14" s="51">
        <v>10.5</v>
      </c>
      <c r="G14" s="51">
        <v>0</v>
      </c>
      <c r="H14" s="52">
        <v>0</v>
      </c>
      <c r="I14" s="34"/>
      <c r="J14" s="34"/>
      <c r="K14" s="31">
        <v>9</v>
      </c>
      <c r="L14" s="53"/>
      <c r="M14" s="54"/>
      <c r="N14" s="54"/>
      <c r="O14" s="54"/>
      <c r="P14" s="54"/>
      <c r="Q14" s="54"/>
      <c r="R14" s="54"/>
      <c r="S14" s="54"/>
      <c r="T14" s="55"/>
      <c r="U14" s="34"/>
      <c r="V14" s="34"/>
      <c r="W14" s="34"/>
    </row>
    <row r="15" spans="1:23" ht="17" thickTop="1" thickBot="1" x14ac:dyDescent="0.4">
      <c r="A15" s="34"/>
      <c r="B15" s="30">
        <v>22</v>
      </c>
      <c r="C15" s="50">
        <v>68.5</v>
      </c>
      <c r="D15" s="51">
        <v>1.75</v>
      </c>
      <c r="E15" s="51">
        <v>0</v>
      </c>
      <c r="F15" s="51">
        <v>3.5</v>
      </c>
      <c r="G15" s="51">
        <v>8</v>
      </c>
      <c r="H15" s="52">
        <v>0</v>
      </c>
      <c r="I15" s="34"/>
      <c r="J15" s="34"/>
      <c r="K15" s="32" t="s">
        <v>23</v>
      </c>
      <c r="L15" s="21">
        <f t="shared" ref="L15:R15" si="0">SUM(L3:L14)</f>
        <v>0</v>
      </c>
      <c r="M15" s="21">
        <f t="shared" si="0"/>
        <v>0</v>
      </c>
      <c r="N15" s="21">
        <f t="shared" si="0"/>
        <v>0</v>
      </c>
      <c r="O15" s="21">
        <f t="shared" si="0"/>
        <v>3</v>
      </c>
      <c r="P15" s="21">
        <f t="shared" si="0"/>
        <v>0</v>
      </c>
      <c r="Q15" s="21">
        <f t="shared" si="0"/>
        <v>5674</v>
      </c>
      <c r="R15" s="21">
        <f t="shared" si="0"/>
        <v>0</v>
      </c>
      <c r="S15" s="21">
        <f>SUM(S3:S14)</f>
        <v>0</v>
      </c>
      <c r="T15" s="21">
        <f>SUM(T3:T14)</f>
        <v>16</v>
      </c>
      <c r="U15" s="34"/>
      <c r="V15" s="34"/>
      <c r="W15" s="34"/>
    </row>
    <row r="16" spans="1:23" ht="17" thickTop="1" thickBot="1" x14ac:dyDescent="0.4">
      <c r="A16" s="34"/>
      <c r="B16" s="30">
        <v>23</v>
      </c>
      <c r="C16" s="50">
        <v>64</v>
      </c>
      <c r="D16" s="51">
        <v>1</v>
      </c>
      <c r="E16" s="51">
        <v>8</v>
      </c>
      <c r="F16" s="51">
        <v>0</v>
      </c>
      <c r="G16" s="51">
        <v>8</v>
      </c>
      <c r="H16" s="52">
        <v>0</v>
      </c>
      <c r="I16" s="34"/>
      <c r="J16" s="34"/>
      <c r="K16" s="32" t="s">
        <v>24</v>
      </c>
      <c r="L16" s="59">
        <f>SUM((L15/Q15)*100)</f>
        <v>0</v>
      </c>
      <c r="M16" s="59">
        <f>SUM((1-((M15)/Q15))*100)</f>
        <v>100</v>
      </c>
      <c r="N16" s="59">
        <f>SUM((1-(N15/Q15))*100)</f>
        <v>100</v>
      </c>
      <c r="O16" s="59">
        <f>SUM(O15/Q15)*100</f>
        <v>5.2872752908001405E-2</v>
      </c>
      <c r="P16" s="59">
        <f>SUM((1-(P15/Q15))*100)</f>
        <v>100</v>
      </c>
      <c r="Q16" s="59">
        <f>Q15/F47</f>
        <v>3.9651979454208743</v>
      </c>
      <c r="R16" s="59"/>
      <c r="S16" s="59">
        <f>SUM((1-(S15/T15))*100)</f>
        <v>100</v>
      </c>
      <c r="T16" s="59"/>
      <c r="U16" s="34"/>
      <c r="V16" s="34"/>
      <c r="W16" s="34"/>
    </row>
    <row r="17" spans="1:23" ht="17" thickTop="1" thickBot="1" x14ac:dyDescent="0.4">
      <c r="A17" s="34"/>
      <c r="B17" s="30">
        <v>24</v>
      </c>
      <c r="C17" s="50">
        <v>37.5</v>
      </c>
      <c r="D17" s="51">
        <v>1.25</v>
      </c>
      <c r="E17" s="51">
        <v>40</v>
      </c>
      <c r="F17" s="51">
        <v>2.5</v>
      </c>
      <c r="G17" s="51">
        <v>0</v>
      </c>
      <c r="H17" s="52">
        <v>0</v>
      </c>
      <c r="I17" s="34"/>
      <c r="J17" s="34"/>
      <c r="K17" s="32" t="s">
        <v>27</v>
      </c>
      <c r="L17" s="21" t="s">
        <v>28</v>
      </c>
      <c r="M17" s="21" t="s">
        <v>32</v>
      </c>
      <c r="N17" s="21" t="s">
        <v>33</v>
      </c>
      <c r="O17" s="21" t="s">
        <v>35</v>
      </c>
      <c r="P17" s="21" t="s">
        <v>34</v>
      </c>
      <c r="Q17" s="21" t="s">
        <v>37</v>
      </c>
      <c r="R17" s="21" t="s">
        <v>36</v>
      </c>
      <c r="S17" s="21" t="s">
        <v>61</v>
      </c>
      <c r="T17" s="21"/>
      <c r="U17" s="34"/>
      <c r="V17" s="34"/>
      <c r="W17" s="34"/>
    </row>
    <row r="18" spans="1:23" ht="15.5" thickTop="1" thickBot="1" x14ac:dyDescent="0.4">
      <c r="A18" s="34"/>
      <c r="B18" s="30">
        <v>25</v>
      </c>
      <c r="C18" s="50">
        <v>56</v>
      </c>
      <c r="D18" s="51">
        <v>1.5</v>
      </c>
      <c r="E18" s="51">
        <v>16</v>
      </c>
      <c r="F18" s="51">
        <v>0</v>
      </c>
      <c r="G18" s="51">
        <v>8</v>
      </c>
      <c r="H18" s="52">
        <v>0</v>
      </c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</row>
    <row r="19" spans="1:23" ht="15.75" customHeight="1" thickTop="1" x14ac:dyDescent="0.35">
      <c r="A19" s="34"/>
      <c r="B19" s="30">
        <v>26</v>
      </c>
      <c r="C19" s="50">
        <v>44</v>
      </c>
      <c r="D19" s="51">
        <v>1</v>
      </c>
      <c r="E19" s="51">
        <v>24</v>
      </c>
      <c r="F19" s="51">
        <v>4</v>
      </c>
      <c r="G19" s="51">
        <v>8</v>
      </c>
      <c r="H19" s="52">
        <v>0</v>
      </c>
      <c r="I19" s="34"/>
      <c r="J19" s="143" t="s">
        <v>21</v>
      </c>
      <c r="K19" s="146" t="s">
        <v>188</v>
      </c>
      <c r="L19" s="146" t="s">
        <v>202</v>
      </c>
      <c r="M19" s="146" t="s">
        <v>201</v>
      </c>
      <c r="N19" s="146" t="s">
        <v>192</v>
      </c>
      <c r="O19" s="146" t="s">
        <v>193</v>
      </c>
      <c r="P19" s="146" t="s">
        <v>196</v>
      </c>
      <c r="Q19" s="146" t="s">
        <v>197</v>
      </c>
      <c r="R19" s="146" t="s">
        <v>203</v>
      </c>
      <c r="S19" s="146" t="s">
        <v>199</v>
      </c>
      <c r="T19" s="146" t="s">
        <v>204</v>
      </c>
      <c r="U19" s="149" t="s">
        <v>200</v>
      </c>
      <c r="V19" s="34"/>
      <c r="W19" s="34"/>
    </row>
    <row r="20" spans="1:23" ht="25" customHeight="1" x14ac:dyDescent="0.35">
      <c r="A20" s="34"/>
      <c r="B20" s="30">
        <v>1</v>
      </c>
      <c r="C20" s="50">
        <v>70</v>
      </c>
      <c r="D20" s="51">
        <v>2</v>
      </c>
      <c r="E20" s="51">
        <v>8</v>
      </c>
      <c r="F20" s="51">
        <v>2</v>
      </c>
      <c r="G20" s="51">
        <v>0</v>
      </c>
      <c r="H20" s="52">
        <v>0</v>
      </c>
      <c r="I20" s="34"/>
      <c r="J20" s="144"/>
      <c r="K20" s="147"/>
      <c r="L20" s="147"/>
      <c r="M20" s="147"/>
      <c r="N20" s="147"/>
      <c r="O20" s="147"/>
      <c r="P20" s="147"/>
      <c r="Q20" s="147"/>
      <c r="R20" s="147"/>
      <c r="S20" s="147"/>
      <c r="T20" s="147"/>
      <c r="U20" s="150"/>
      <c r="V20" s="34"/>
      <c r="W20" s="34"/>
    </row>
    <row r="21" spans="1:23" ht="15" thickBot="1" x14ac:dyDescent="0.4">
      <c r="A21" s="34"/>
      <c r="B21" s="30">
        <v>2</v>
      </c>
      <c r="C21" s="50">
        <v>76.45</v>
      </c>
      <c r="D21" s="51">
        <v>1.5</v>
      </c>
      <c r="E21" s="51">
        <v>0</v>
      </c>
      <c r="F21" s="51">
        <v>3.25</v>
      </c>
      <c r="G21" s="51">
        <v>0</v>
      </c>
      <c r="H21" s="52">
        <v>0</v>
      </c>
      <c r="I21" s="34"/>
      <c r="J21" s="145"/>
      <c r="K21" s="148"/>
      <c r="L21" s="148"/>
      <c r="M21" s="148"/>
      <c r="N21" s="148"/>
      <c r="O21" s="148"/>
      <c r="P21" s="148"/>
      <c r="Q21" s="148"/>
      <c r="R21" s="148"/>
      <c r="S21" s="148"/>
      <c r="T21" s="148"/>
      <c r="U21" s="151"/>
      <c r="V21" s="34"/>
      <c r="W21" s="34"/>
    </row>
    <row r="22" spans="1:23" ht="15" thickTop="1" x14ac:dyDescent="0.35">
      <c r="A22" s="34"/>
      <c r="B22" s="30">
        <v>3</v>
      </c>
      <c r="C22" s="50">
        <v>56</v>
      </c>
      <c r="D22" s="51">
        <v>1</v>
      </c>
      <c r="E22" s="51">
        <v>16</v>
      </c>
      <c r="F22" s="51">
        <v>8</v>
      </c>
      <c r="G22" s="51">
        <v>0</v>
      </c>
      <c r="H22" s="52">
        <v>0</v>
      </c>
      <c r="I22" s="34"/>
      <c r="J22" s="10">
        <v>10</v>
      </c>
      <c r="K22" s="56">
        <v>0</v>
      </c>
      <c r="L22" s="48">
        <v>0</v>
      </c>
      <c r="M22" s="48">
        <v>0</v>
      </c>
      <c r="N22" s="48">
        <v>0</v>
      </c>
      <c r="O22" s="48">
        <v>0</v>
      </c>
      <c r="P22" s="48">
        <v>1</v>
      </c>
      <c r="Q22" s="48">
        <v>0</v>
      </c>
      <c r="R22" s="48">
        <v>0</v>
      </c>
      <c r="S22" s="48">
        <v>0</v>
      </c>
      <c r="T22" s="48">
        <v>0</v>
      </c>
      <c r="U22" s="49">
        <v>0</v>
      </c>
      <c r="V22" s="34"/>
      <c r="W22" s="34"/>
    </row>
    <row r="23" spans="1:23" x14ac:dyDescent="0.35">
      <c r="A23" s="34"/>
      <c r="B23" s="30">
        <v>4</v>
      </c>
      <c r="C23" s="50">
        <v>80</v>
      </c>
      <c r="D23" s="51">
        <v>3</v>
      </c>
      <c r="E23" s="51">
        <v>0</v>
      </c>
      <c r="F23" s="51">
        <v>0</v>
      </c>
      <c r="G23" s="51">
        <v>0</v>
      </c>
      <c r="H23" s="52">
        <v>0</v>
      </c>
      <c r="I23" s="34"/>
      <c r="J23" s="15">
        <v>11</v>
      </c>
      <c r="K23" s="57">
        <v>0</v>
      </c>
      <c r="L23" s="51">
        <v>0</v>
      </c>
      <c r="M23" s="51">
        <v>0</v>
      </c>
      <c r="N23" s="51">
        <v>0</v>
      </c>
      <c r="O23" s="51">
        <v>0</v>
      </c>
      <c r="P23" s="51">
        <v>1</v>
      </c>
      <c r="Q23" s="51">
        <v>0</v>
      </c>
      <c r="R23" s="51">
        <v>0</v>
      </c>
      <c r="S23" s="51">
        <v>0</v>
      </c>
      <c r="T23" s="51">
        <v>1</v>
      </c>
      <c r="U23" s="52">
        <v>0</v>
      </c>
      <c r="V23" s="34"/>
      <c r="W23" s="34"/>
    </row>
    <row r="24" spans="1:23" x14ac:dyDescent="0.35">
      <c r="A24" s="34"/>
      <c r="B24" s="30">
        <v>5</v>
      </c>
      <c r="C24" s="50">
        <v>77</v>
      </c>
      <c r="D24" s="51">
        <v>2</v>
      </c>
      <c r="E24" s="51">
        <v>1</v>
      </c>
      <c r="F24" s="51">
        <v>2</v>
      </c>
      <c r="G24" s="51">
        <v>0</v>
      </c>
      <c r="H24" s="52">
        <v>0</v>
      </c>
      <c r="I24" s="34"/>
      <c r="J24" s="15">
        <v>12</v>
      </c>
      <c r="K24" s="57">
        <v>0</v>
      </c>
      <c r="L24" s="51">
        <v>0</v>
      </c>
      <c r="M24" s="51">
        <v>0</v>
      </c>
      <c r="N24" s="51">
        <v>0</v>
      </c>
      <c r="O24" s="51">
        <v>0</v>
      </c>
      <c r="P24" s="51">
        <v>1</v>
      </c>
      <c r="Q24" s="51">
        <v>0</v>
      </c>
      <c r="R24" s="51">
        <v>0</v>
      </c>
      <c r="S24" s="51">
        <v>0</v>
      </c>
      <c r="T24" s="51">
        <v>0</v>
      </c>
      <c r="U24" s="52">
        <v>0</v>
      </c>
      <c r="V24" s="34"/>
      <c r="W24" s="34"/>
    </row>
    <row r="25" spans="1:23" x14ac:dyDescent="0.35">
      <c r="A25" s="34"/>
      <c r="B25" s="30">
        <v>6</v>
      </c>
      <c r="C25" s="50">
        <v>75.5</v>
      </c>
      <c r="D25" s="51">
        <v>0.5</v>
      </c>
      <c r="E25" s="51">
        <v>0</v>
      </c>
      <c r="F25" s="51">
        <v>4.5</v>
      </c>
      <c r="G25" s="51">
        <v>0</v>
      </c>
      <c r="H25" s="52">
        <v>0</v>
      </c>
      <c r="I25" s="34"/>
      <c r="J25" s="15">
        <v>1</v>
      </c>
      <c r="K25" s="57">
        <v>0</v>
      </c>
      <c r="L25" s="51">
        <v>1</v>
      </c>
      <c r="M25" s="51">
        <v>0</v>
      </c>
      <c r="N25" s="51">
        <v>0</v>
      </c>
      <c r="O25" s="51">
        <v>1</v>
      </c>
      <c r="P25" s="51">
        <v>0</v>
      </c>
      <c r="Q25" s="51">
        <v>0</v>
      </c>
      <c r="R25" s="51">
        <v>0</v>
      </c>
      <c r="S25" s="51">
        <v>0</v>
      </c>
      <c r="T25" s="51">
        <v>0</v>
      </c>
      <c r="U25" s="52">
        <v>0</v>
      </c>
      <c r="V25" s="34"/>
      <c r="W25" s="34"/>
    </row>
    <row r="26" spans="1:23" x14ac:dyDescent="0.35">
      <c r="A26" s="34"/>
      <c r="B26" s="30">
        <v>7</v>
      </c>
      <c r="C26" s="50">
        <v>77.75</v>
      </c>
      <c r="D26" s="51">
        <v>0.5</v>
      </c>
      <c r="E26" s="51">
        <v>0</v>
      </c>
      <c r="F26" s="51">
        <v>2.25</v>
      </c>
      <c r="G26" s="51">
        <v>0</v>
      </c>
      <c r="H26" s="52">
        <v>0</v>
      </c>
      <c r="I26" s="34"/>
      <c r="J26" s="15">
        <v>2</v>
      </c>
      <c r="K26" s="57">
        <v>0</v>
      </c>
      <c r="L26" s="51">
        <v>1</v>
      </c>
      <c r="M26" s="51">
        <v>0</v>
      </c>
      <c r="N26" s="51">
        <v>0</v>
      </c>
      <c r="O26" s="51">
        <v>0</v>
      </c>
      <c r="P26" s="51">
        <v>0</v>
      </c>
      <c r="Q26" s="51">
        <v>0</v>
      </c>
      <c r="R26" s="51">
        <v>0</v>
      </c>
      <c r="S26" s="51">
        <v>0</v>
      </c>
      <c r="T26" s="51">
        <v>0</v>
      </c>
      <c r="U26" s="52">
        <v>0</v>
      </c>
      <c r="V26" s="34"/>
      <c r="W26" s="34"/>
    </row>
    <row r="27" spans="1:23" x14ac:dyDescent="0.35">
      <c r="A27" s="34"/>
      <c r="B27" s="30">
        <v>8</v>
      </c>
      <c r="C27" s="50">
        <v>75.5</v>
      </c>
      <c r="D27" s="51">
        <v>0</v>
      </c>
      <c r="E27" s="51">
        <v>0</v>
      </c>
      <c r="F27" s="51">
        <v>4.5</v>
      </c>
      <c r="G27" s="51">
        <v>0</v>
      </c>
      <c r="H27" s="52">
        <v>0</v>
      </c>
      <c r="I27" s="34"/>
      <c r="J27" s="15">
        <v>3</v>
      </c>
      <c r="K27" s="57">
        <v>0</v>
      </c>
      <c r="L27" s="51">
        <v>1</v>
      </c>
      <c r="M27" s="51">
        <v>0</v>
      </c>
      <c r="N27" s="51">
        <v>0</v>
      </c>
      <c r="O27" s="51">
        <v>0</v>
      </c>
      <c r="P27" s="51">
        <v>1</v>
      </c>
      <c r="Q27" s="51">
        <v>0</v>
      </c>
      <c r="R27" s="51">
        <v>0</v>
      </c>
      <c r="S27" s="51">
        <v>0</v>
      </c>
      <c r="T27" s="51">
        <v>0</v>
      </c>
      <c r="U27" s="52">
        <v>0</v>
      </c>
      <c r="V27" s="34"/>
      <c r="W27" s="34"/>
    </row>
    <row r="28" spans="1:23" x14ac:dyDescent="0.35">
      <c r="A28" s="34"/>
      <c r="B28" s="30">
        <v>9</v>
      </c>
      <c r="C28" s="50">
        <v>54</v>
      </c>
      <c r="D28" s="51">
        <v>0.25</v>
      </c>
      <c r="E28" s="51">
        <v>24</v>
      </c>
      <c r="F28" s="51">
        <v>2</v>
      </c>
      <c r="G28" s="51">
        <v>0</v>
      </c>
      <c r="H28" s="52">
        <v>0</v>
      </c>
      <c r="I28" s="34"/>
      <c r="J28" s="15">
        <v>4</v>
      </c>
      <c r="K28" s="57">
        <v>0</v>
      </c>
      <c r="L28" s="51">
        <v>1</v>
      </c>
      <c r="M28" s="51">
        <v>0</v>
      </c>
      <c r="N28" s="51">
        <v>0</v>
      </c>
      <c r="O28" s="51">
        <v>0</v>
      </c>
      <c r="P28" s="51">
        <v>0</v>
      </c>
      <c r="Q28" s="51">
        <v>0</v>
      </c>
      <c r="R28" s="51">
        <v>0</v>
      </c>
      <c r="S28" s="51">
        <v>0</v>
      </c>
      <c r="T28" s="51">
        <v>0</v>
      </c>
      <c r="U28" s="52">
        <v>0</v>
      </c>
      <c r="V28" s="34"/>
      <c r="W28" s="34"/>
    </row>
    <row r="29" spans="1:23" x14ac:dyDescent="0.35">
      <c r="A29" s="34"/>
      <c r="B29" s="30">
        <v>10</v>
      </c>
      <c r="C29" s="50">
        <v>40</v>
      </c>
      <c r="D29" s="51">
        <v>0.5</v>
      </c>
      <c r="E29" s="51">
        <v>16</v>
      </c>
      <c r="F29" s="51">
        <v>16</v>
      </c>
      <c r="G29" s="51">
        <v>8</v>
      </c>
      <c r="H29" s="52">
        <v>0</v>
      </c>
      <c r="I29" s="34"/>
      <c r="J29" s="15">
        <v>5</v>
      </c>
      <c r="K29" s="57">
        <v>0</v>
      </c>
      <c r="L29" s="51">
        <v>0</v>
      </c>
      <c r="M29" s="51">
        <v>0</v>
      </c>
      <c r="N29" s="51">
        <v>0</v>
      </c>
      <c r="O29" s="51">
        <v>0</v>
      </c>
      <c r="P29" s="51">
        <v>1</v>
      </c>
      <c r="Q29" s="51">
        <v>0</v>
      </c>
      <c r="R29" s="51">
        <v>0</v>
      </c>
      <c r="S29" s="51">
        <v>0</v>
      </c>
      <c r="T29" s="51">
        <v>0</v>
      </c>
      <c r="U29" s="52">
        <v>0</v>
      </c>
      <c r="V29" s="34"/>
      <c r="W29" s="34"/>
    </row>
    <row r="30" spans="1:23" x14ac:dyDescent="0.35">
      <c r="A30" s="34"/>
      <c r="B30" s="30">
        <v>11</v>
      </c>
      <c r="C30" s="50">
        <v>76</v>
      </c>
      <c r="D30" s="51">
        <v>0.75</v>
      </c>
      <c r="E30" s="51">
        <v>4</v>
      </c>
      <c r="F30" s="51">
        <v>0</v>
      </c>
      <c r="G30" s="51">
        <v>0</v>
      </c>
      <c r="H30" s="52">
        <v>0</v>
      </c>
      <c r="I30" s="34"/>
      <c r="J30" s="15">
        <v>6</v>
      </c>
      <c r="K30" s="57">
        <v>0</v>
      </c>
      <c r="L30" s="51">
        <v>1</v>
      </c>
      <c r="M30" s="51">
        <v>0</v>
      </c>
      <c r="N30" s="51">
        <v>0</v>
      </c>
      <c r="O30" s="51">
        <v>0</v>
      </c>
      <c r="P30" s="51">
        <v>1</v>
      </c>
      <c r="Q30" s="51">
        <v>0</v>
      </c>
      <c r="R30" s="51">
        <v>0</v>
      </c>
      <c r="S30" s="51">
        <v>0</v>
      </c>
      <c r="T30" s="51">
        <v>0</v>
      </c>
      <c r="U30" s="52">
        <v>0</v>
      </c>
      <c r="V30" s="34"/>
      <c r="W30" s="34"/>
    </row>
    <row r="31" spans="1:23" x14ac:dyDescent="0.35">
      <c r="A31" s="34"/>
      <c r="B31" s="30">
        <v>12</v>
      </c>
      <c r="C31" s="50">
        <v>64</v>
      </c>
      <c r="D31" s="51">
        <v>0</v>
      </c>
      <c r="E31" s="51">
        <v>8</v>
      </c>
      <c r="F31" s="51">
        <v>0</v>
      </c>
      <c r="G31" s="51">
        <v>8</v>
      </c>
      <c r="H31" s="52">
        <v>0</v>
      </c>
      <c r="I31" s="34"/>
      <c r="J31" s="15">
        <v>7</v>
      </c>
      <c r="K31" s="57">
        <v>0</v>
      </c>
      <c r="L31" s="51">
        <v>0</v>
      </c>
      <c r="M31" s="51">
        <v>0</v>
      </c>
      <c r="N31" s="51">
        <v>0</v>
      </c>
      <c r="O31" s="51">
        <v>0</v>
      </c>
      <c r="P31" s="51">
        <v>1</v>
      </c>
      <c r="Q31" s="51">
        <v>1</v>
      </c>
      <c r="R31" s="51">
        <v>0</v>
      </c>
      <c r="S31" s="51">
        <v>0</v>
      </c>
      <c r="T31" s="51">
        <v>0</v>
      </c>
      <c r="U31" s="52">
        <v>0</v>
      </c>
      <c r="V31" s="34"/>
      <c r="W31" s="34"/>
    </row>
    <row r="32" spans="1:23" x14ac:dyDescent="0.35">
      <c r="A32" s="34"/>
      <c r="B32" s="30">
        <v>13</v>
      </c>
      <c r="C32" s="50">
        <v>72</v>
      </c>
      <c r="D32" s="51">
        <v>0.5</v>
      </c>
      <c r="E32" s="51">
        <v>0</v>
      </c>
      <c r="F32" s="51">
        <v>0</v>
      </c>
      <c r="G32" s="51">
        <v>8</v>
      </c>
      <c r="H32" s="52">
        <v>0</v>
      </c>
      <c r="I32" s="34"/>
      <c r="J32" s="15">
        <v>8</v>
      </c>
      <c r="K32" s="57"/>
      <c r="L32" s="51"/>
      <c r="M32" s="51"/>
      <c r="N32" s="51"/>
      <c r="O32" s="51"/>
      <c r="P32" s="51"/>
      <c r="Q32" s="51"/>
      <c r="R32" s="51"/>
      <c r="S32" s="51"/>
      <c r="T32" s="51"/>
      <c r="U32" s="52"/>
      <c r="V32" s="34"/>
      <c r="W32" s="34"/>
    </row>
    <row r="33" spans="1:23" ht="15" thickBot="1" x14ac:dyDescent="0.4">
      <c r="A33" s="34"/>
      <c r="B33" s="30">
        <v>14</v>
      </c>
      <c r="C33" s="50">
        <v>38</v>
      </c>
      <c r="D33" s="51">
        <v>2.5</v>
      </c>
      <c r="E33" s="51">
        <v>40</v>
      </c>
      <c r="F33" s="51">
        <v>2</v>
      </c>
      <c r="G33" s="51">
        <v>0</v>
      </c>
      <c r="H33" s="52">
        <v>0</v>
      </c>
      <c r="I33" s="34"/>
      <c r="J33" s="44">
        <v>9</v>
      </c>
      <c r="K33" s="58"/>
      <c r="L33" s="54"/>
      <c r="M33" s="54"/>
      <c r="N33" s="54"/>
      <c r="O33" s="54"/>
      <c r="P33" s="54"/>
      <c r="Q33" s="54"/>
      <c r="R33" s="54"/>
      <c r="S33" s="54"/>
      <c r="T33" s="54"/>
      <c r="U33" s="55"/>
      <c r="V33" s="34"/>
      <c r="W33" s="34"/>
    </row>
    <row r="34" spans="1:23" ht="17" thickTop="1" thickBot="1" x14ac:dyDescent="0.4">
      <c r="A34" s="34"/>
      <c r="B34" s="30">
        <v>15</v>
      </c>
      <c r="C34" s="50">
        <v>71.5</v>
      </c>
      <c r="D34" s="51">
        <v>0.5</v>
      </c>
      <c r="E34" s="51">
        <v>0</v>
      </c>
      <c r="F34" s="51">
        <v>8.5</v>
      </c>
      <c r="G34" s="51">
        <v>0</v>
      </c>
      <c r="H34" s="52">
        <v>0</v>
      </c>
      <c r="I34" s="34"/>
      <c r="J34" s="32" t="s">
        <v>23</v>
      </c>
      <c r="K34" s="33">
        <f t="shared" ref="K34:U34" si="1">SUM(K22:K33)</f>
        <v>0</v>
      </c>
      <c r="L34" s="33">
        <f t="shared" si="1"/>
        <v>5</v>
      </c>
      <c r="M34" s="33">
        <f t="shared" si="1"/>
        <v>0</v>
      </c>
      <c r="N34" s="33">
        <f t="shared" si="1"/>
        <v>0</v>
      </c>
      <c r="O34" s="33">
        <f t="shared" si="1"/>
        <v>1</v>
      </c>
      <c r="P34" s="33">
        <f t="shared" si="1"/>
        <v>7</v>
      </c>
      <c r="Q34" s="33">
        <f t="shared" si="1"/>
        <v>1</v>
      </c>
      <c r="R34" s="33">
        <f t="shared" si="1"/>
        <v>0</v>
      </c>
      <c r="S34" s="33">
        <f t="shared" si="1"/>
        <v>0</v>
      </c>
      <c r="T34" s="33">
        <f t="shared" si="1"/>
        <v>1</v>
      </c>
      <c r="U34" s="21">
        <f t="shared" si="1"/>
        <v>0</v>
      </c>
      <c r="V34" s="34"/>
      <c r="W34" s="34"/>
    </row>
    <row r="35" spans="1:23" ht="15.5" thickTop="1" thickBot="1" x14ac:dyDescent="0.4">
      <c r="A35" s="34"/>
      <c r="B35" s="30">
        <v>16</v>
      </c>
      <c r="C35" s="50"/>
      <c r="D35" s="51"/>
      <c r="E35" s="51"/>
      <c r="F35" s="51"/>
      <c r="G35" s="51"/>
      <c r="H35" s="52"/>
      <c r="I35" s="34"/>
      <c r="J35" s="14" t="s">
        <v>27</v>
      </c>
      <c r="K35" s="21" t="s">
        <v>29</v>
      </c>
      <c r="L35" s="21" t="s">
        <v>30</v>
      </c>
      <c r="M35" s="21" t="s">
        <v>58</v>
      </c>
      <c r="N35" s="21" t="s">
        <v>59</v>
      </c>
      <c r="O35" s="21" t="s">
        <v>60</v>
      </c>
      <c r="P35" s="21" t="s">
        <v>38</v>
      </c>
      <c r="Q35" s="21" t="s">
        <v>39</v>
      </c>
      <c r="R35" s="21" t="s">
        <v>62</v>
      </c>
      <c r="S35" s="21" t="s">
        <v>63</v>
      </c>
      <c r="T35" s="21" t="s">
        <v>64</v>
      </c>
      <c r="U35" s="21" t="s">
        <v>65</v>
      </c>
      <c r="V35" s="34"/>
      <c r="W35" s="34"/>
    </row>
    <row r="36" spans="1:23" ht="15" thickTop="1" x14ac:dyDescent="0.35">
      <c r="A36" s="34"/>
      <c r="B36" s="30">
        <v>17</v>
      </c>
      <c r="C36" s="50"/>
      <c r="D36" s="51"/>
      <c r="E36" s="51"/>
      <c r="F36" s="51"/>
      <c r="G36" s="51"/>
      <c r="H36" s="52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</row>
    <row r="37" spans="1:23" x14ac:dyDescent="0.35">
      <c r="A37" s="34"/>
      <c r="B37" s="30">
        <v>18</v>
      </c>
      <c r="C37" s="50"/>
      <c r="D37" s="51"/>
      <c r="E37" s="51"/>
      <c r="F37" s="51"/>
      <c r="G37" s="51"/>
      <c r="H37" s="52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</row>
    <row r="38" spans="1:23" x14ac:dyDescent="0.35">
      <c r="A38" s="34"/>
      <c r="B38" s="30">
        <v>19</v>
      </c>
      <c r="C38" s="50"/>
      <c r="D38" s="51"/>
      <c r="E38" s="51"/>
      <c r="F38" s="51"/>
      <c r="G38" s="51"/>
      <c r="H38" s="52"/>
      <c r="I38" s="34"/>
      <c r="J38" s="152" t="s">
        <v>57</v>
      </c>
      <c r="K38" s="152"/>
      <c r="L38" s="152"/>
      <c r="M38" s="152"/>
      <c r="N38" s="152"/>
      <c r="O38" s="152"/>
      <c r="P38" s="34"/>
      <c r="Q38" s="34"/>
      <c r="R38" s="34"/>
      <c r="S38" s="34"/>
      <c r="T38" s="34"/>
      <c r="U38" s="34"/>
      <c r="V38" s="34"/>
      <c r="W38" s="34"/>
    </row>
    <row r="39" spans="1:23" x14ac:dyDescent="0.35">
      <c r="A39" s="34"/>
      <c r="B39" s="30">
        <v>20</v>
      </c>
      <c r="C39" s="50"/>
      <c r="D39" s="51"/>
      <c r="E39" s="51"/>
      <c r="F39" s="51"/>
      <c r="G39" s="51"/>
      <c r="H39" s="52"/>
      <c r="I39" s="34"/>
      <c r="J39" s="152"/>
      <c r="K39" s="152"/>
      <c r="L39" s="152"/>
      <c r="M39" s="152"/>
      <c r="N39" s="152"/>
      <c r="O39" s="152"/>
      <c r="P39" s="34"/>
      <c r="Q39" s="34"/>
      <c r="R39" s="34"/>
      <c r="S39" s="34"/>
      <c r="T39" s="34"/>
      <c r="U39" s="34"/>
      <c r="V39" s="34"/>
      <c r="W39" s="34"/>
    </row>
    <row r="40" spans="1:23" ht="15" thickBot="1" x14ac:dyDescent="0.4">
      <c r="A40" s="34"/>
      <c r="B40" s="30">
        <v>21</v>
      </c>
      <c r="C40" s="50"/>
      <c r="D40" s="51"/>
      <c r="E40" s="51"/>
      <c r="F40" s="51"/>
      <c r="G40" s="51"/>
      <c r="H40" s="52"/>
      <c r="I40" s="34"/>
      <c r="J40" s="35"/>
      <c r="K40" s="35"/>
      <c r="L40" s="35"/>
      <c r="M40" s="35"/>
      <c r="N40" s="35"/>
      <c r="O40" s="35"/>
      <c r="P40" s="34"/>
      <c r="Q40" s="34"/>
      <c r="R40" s="34"/>
      <c r="S40" s="34"/>
      <c r="T40" s="34"/>
      <c r="U40" s="34"/>
      <c r="V40" s="34"/>
      <c r="W40" s="34"/>
    </row>
    <row r="41" spans="1:23" ht="15.5" thickTop="1" thickBot="1" x14ac:dyDescent="0.4">
      <c r="A41" s="34"/>
      <c r="B41" s="30">
        <v>22</v>
      </c>
      <c r="C41" s="50"/>
      <c r="D41" s="51"/>
      <c r="E41" s="51"/>
      <c r="F41" s="51"/>
      <c r="G41" s="51"/>
      <c r="H41" s="52"/>
      <c r="I41" s="34"/>
      <c r="J41" s="34"/>
      <c r="K41" s="36" t="s">
        <v>0</v>
      </c>
      <c r="L41" s="36" t="s">
        <v>1</v>
      </c>
      <c r="M41" s="36" t="s">
        <v>2</v>
      </c>
      <c r="N41" s="36" t="s">
        <v>3</v>
      </c>
      <c r="O41" s="34"/>
      <c r="P41" s="34"/>
      <c r="Q41" s="34"/>
      <c r="R41" s="34"/>
      <c r="S41" s="34"/>
      <c r="T41" s="34"/>
      <c r="U41" s="34"/>
      <c r="V41" s="34"/>
      <c r="W41" s="34"/>
    </row>
    <row r="42" spans="1:23" ht="15.5" thickTop="1" thickBot="1" x14ac:dyDescent="0.4">
      <c r="A42" s="34"/>
      <c r="B42" s="30">
        <v>23</v>
      </c>
      <c r="C42" s="50"/>
      <c r="D42" s="51"/>
      <c r="E42" s="51"/>
      <c r="F42" s="51"/>
      <c r="G42" s="51"/>
      <c r="H42" s="52"/>
      <c r="I42" s="34"/>
      <c r="J42" s="34"/>
      <c r="K42" s="21" t="str">
        <f>IF(OR('5'!C3&gt;SetUp!C7,'5'!C4&lt;SetUp!C8),"Unacceptable",IF(AND(AND('5'!C3&lt;=SetUp!D7,'5'!C4&gt;=SetUp!D8),OR('5'!C5&gt;=SetUp!C12,'5'!C6&gt;=SetUp!C13,'5'!C7&gt;=SetUp!C14)), "Exceptional", "Fully Successful"))</f>
        <v>Exceptional</v>
      </c>
      <c r="L42" s="21" t="str">
        <f>IF(OR('5'!D3&lt;SetUp!E7,'5'!D4&gt;SetUp!E8,'5'!D5&lt;SetUp!E9),"Unacceptable", IF(AND(AND('5'!D3&gt;=SetUp!F7,'5'!D4&lt;=SetUp!F8,'5'!D5&gt;=SetUp!F9),OR('5'!D6&gt;=SetUp!E13,'5'!D7&gt;=SetUp!E14)), "Exceptional", "Fully Successful"))</f>
        <v>Exceptional</v>
      </c>
      <c r="M42" s="21" t="str">
        <f>IF(OR('5'!E3&lt;SetUp!G7,'5'!E4&gt;SetUp!G8),"Unacceptable",IF(AND(AND('5'!E3&gt;=SetUp!H7, '5'!E4&lt;=SetUp!H8),OR('5'!E5&gt;=SetUp!G12, '5'!E6&gt;=SetUp!G13)), "Exceptional", "Fully Successful"))</f>
        <v>Exceptional</v>
      </c>
      <c r="N42" s="21" t="str">
        <f>IF(OR(F3&lt;SetUp!I7,'5'!F4&gt;SetUp!I11),"Unacceptable",IF(AND(AND(F3&gt;=SetUp!J7,'5'!F4&lt;=SetUp!I11),OR('5'!F5&gt;=SetUp!I12,'5'!F6&gt;=SetUp!I13,'5'!F7&gt;=SetUp!I14)),"Exceptional","Fully Successful"))</f>
        <v>Exceptional</v>
      </c>
      <c r="O42" s="34"/>
      <c r="P42" s="34"/>
      <c r="Q42" s="34"/>
      <c r="R42" s="34"/>
      <c r="S42" s="34"/>
      <c r="T42" s="34"/>
      <c r="U42" s="34"/>
      <c r="V42" s="34"/>
      <c r="W42" s="34"/>
    </row>
    <row r="43" spans="1:23" ht="15.5" thickTop="1" thickBot="1" x14ac:dyDescent="0.4">
      <c r="A43" s="34"/>
      <c r="B43" s="30">
        <v>24</v>
      </c>
      <c r="C43" s="50"/>
      <c r="D43" s="51"/>
      <c r="E43" s="51"/>
      <c r="F43" s="51"/>
      <c r="G43" s="51"/>
      <c r="H43" s="52"/>
      <c r="I43" s="34"/>
      <c r="J43" s="34"/>
      <c r="K43" s="21">
        <f>IF(K42="Exceptional", 10, IF(K42="Fully Successful", 1, 0))</f>
        <v>10</v>
      </c>
      <c r="L43" s="21">
        <f>IF(L42="Exceptional", 10, IF(L42="Fully Successful", 1, 0))</f>
        <v>10</v>
      </c>
      <c r="M43" s="21">
        <f>IF(M42="Exceptional", 10, IF(M42="Fully Successful", 1, 0))</f>
        <v>10</v>
      </c>
      <c r="N43" s="21">
        <f>IF(N42="Exceptional", 10, IF(N42="Fully Successful", 1, 0))</f>
        <v>10</v>
      </c>
      <c r="O43" s="34"/>
      <c r="P43" s="34"/>
      <c r="Q43" s="34"/>
      <c r="R43" s="34"/>
      <c r="S43" s="34"/>
      <c r="T43" s="34"/>
      <c r="U43" s="34"/>
      <c r="V43" s="34"/>
      <c r="W43" s="34"/>
    </row>
    <row r="44" spans="1:23" ht="15.75" customHeight="1" thickTop="1" thickBot="1" x14ac:dyDescent="0.4">
      <c r="A44" s="34"/>
      <c r="B44" s="30">
        <v>25</v>
      </c>
      <c r="C44" s="50"/>
      <c r="D44" s="51"/>
      <c r="E44" s="51"/>
      <c r="F44" s="51"/>
      <c r="G44" s="51"/>
      <c r="H44" s="52"/>
      <c r="I44" s="34"/>
      <c r="J44" s="34"/>
      <c r="K44" s="34"/>
      <c r="L44" s="21">
        <f>SUM(K43:M43)</f>
        <v>30</v>
      </c>
      <c r="M44" s="21">
        <f>N43</f>
        <v>10</v>
      </c>
      <c r="N44" s="21" t="str">
        <f>IF(L44+M44=40,"OutStanding",IF(AND(L44&gt;=30,M44&gt;=1),"Excellent",IF(AND(K43&gt;=1,L43&gt;=1,M43&gt;=1,N43&gt;=1),"Fully Successful",IF(AND(K43&gt;=1,L43&gt;=1,M43&gt;=1,N43&lt;1),"Minimally Successful","Unacceptable"))))</f>
        <v>OutStanding</v>
      </c>
      <c r="O44" s="34"/>
      <c r="P44" s="34"/>
      <c r="Q44" s="34"/>
      <c r="R44" s="34"/>
      <c r="S44" s="34"/>
      <c r="T44" s="34"/>
      <c r="U44" s="34"/>
      <c r="V44" s="34"/>
      <c r="W44" s="34"/>
    </row>
    <row r="45" spans="1:23" ht="15.5" thickTop="1" thickBot="1" x14ac:dyDescent="0.4">
      <c r="A45" s="34"/>
      <c r="B45" s="37">
        <v>26</v>
      </c>
      <c r="C45" s="53"/>
      <c r="D45" s="54"/>
      <c r="E45" s="54"/>
      <c r="F45" s="54"/>
      <c r="G45" s="54"/>
      <c r="H45" s="55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</row>
    <row r="46" spans="1:23" ht="15.5" thickTop="1" thickBot="1" x14ac:dyDescent="0.4">
      <c r="A46" s="34"/>
      <c r="B46" s="14" t="s">
        <v>23</v>
      </c>
      <c r="C46" s="21">
        <f t="shared" ref="C46:H46" si="2">SUM(C13:C45)</f>
        <v>1407.2</v>
      </c>
      <c r="D46" s="21">
        <f t="shared" si="2"/>
        <v>23.75</v>
      </c>
      <c r="E46" s="21">
        <f t="shared" si="2"/>
        <v>213</v>
      </c>
      <c r="F46" s="21">
        <f t="shared" si="2"/>
        <v>75.5</v>
      </c>
      <c r="G46" s="21">
        <f t="shared" si="2"/>
        <v>64</v>
      </c>
      <c r="H46" s="21">
        <f t="shared" si="2"/>
        <v>0</v>
      </c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</row>
    <row r="47" spans="1:23" ht="15.5" thickTop="1" thickBot="1" x14ac:dyDescent="0.4">
      <c r="A47" s="34"/>
      <c r="B47" s="14" t="s">
        <v>26</v>
      </c>
      <c r="C47" s="21">
        <f>C46+D46+E46+F46+G46+H46</f>
        <v>1783.45</v>
      </c>
      <c r="D47" s="153" t="s">
        <v>66</v>
      </c>
      <c r="E47" s="154"/>
      <c r="F47" s="155">
        <f>C46+D46</f>
        <v>1430.95</v>
      </c>
      <c r="G47" s="156"/>
      <c r="H47" s="157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</row>
    <row r="48" spans="1:23" ht="15" thickTop="1" x14ac:dyDescent="0.35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</row>
    <row r="49" spans="1:23" x14ac:dyDescent="0.35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</row>
    <row r="50" spans="1:23" x14ac:dyDescent="0.35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</row>
    <row r="51" spans="1:23" x14ac:dyDescent="0.35">
      <c r="A51" s="34"/>
      <c r="B51" s="34"/>
      <c r="C51" s="34"/>
      <c r="D51" s="34"/>
      <c r="E51" s="34"/>
      <c r="F51" s="34"/>
      <c r="G51" s="34"/>
      <c r="H51" s="34"/>
      <c r="I51" s="34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4"/>
      <c r="W51" s="34"/>
    </row>
    <row r="52" spans="1:23" x14ac:dyDescent="0.35">
      <c r="A52" s="34"/>
      <c r="B52" s="34"/>
      <c r="C52" s="34"/>
      <c r="D52" s="34"/>
      <c r="E52" s="34"/>
      <c r="F52" s="34"/>
      <c r="G52" s="34"/>
      <c r="H52" s="34"/>
      <c r="I52" s="34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4"/>
      <c r="W52" s="34"/>
    </row>
    <row r="53" spans="1:23" x14ac:dyDescent="0.35">
      <c r="A53" s="34"/>
      <c r="B53" s="34"/>
      <c r="C53" s="34"/>
      <c r="D53" s="34"/>
      <c r="E53" s="34"/>
      <c r="F53" s="34"/>
      <c r="G53" s="34"/>
      <c r="H53" s="34"/>
      <c r="I53" s="34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4"/>
      <c r="W53" s="34"/>
    </row>
    <row r="54" spans="1:23" x14ac:dyDescent="0.35"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</row>
    <row r="55" spans="1:23" x14ac:dyDescent="0.35"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</row>
    <row r="56" spans="1:23" x14ac:dyDescent="0.35"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</row>
    <row r="57" spans="1:23" x14ac:dyDescent="0.35"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</row>
    <row r="58" spans="1:23" x14ac:dyDescent="0.35"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</row>
    <row r="59" spans="1:23" x14ac:dyDescent="0.35"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</row>
    <row r="60" spans="1:23" x14ac:dyDescent="0.35"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</row>
  </sheetData>
  <sheetProtection selectLockedCells="1"/>
  <mergeCells count="18">
    <mergeCell ref="H2:I2"/>
    <mergeCell ref="B9:B10"/>
    <mergeCell ref="C9:F10"/>
    <mergeCell ref="J19:J21"/>
    <mergeCell ref="K19:K21"/>
    <mergeCell ref="S19:S21"/>
    <mergeCell ref="T19:T21"/>
    <mergeCell ref="U19:U21"/>
    <mergeCell ref="J38:O39"/>
    <mergeCell ref="D47:E47"/>
    <mergeCell ref="F47:H47"/>
    <mergeCell ref="M19:M21"/>
    <mergeCell ref="N19:N21"/>
    <mergeCell ref="O19:O21"/>
    <mergeCell ref="P19:P21"/>
    <mergeCell ref="Q19:Q21"/>
    <mergeCell ref="R19:R21"/>
    <mergeCell ref="L19:L21"/>
  </mergeCells>
  <conditionalFormatting sqref="C7">
    <cfRule type="cellIs" dxfId="250" priority="13" operator="greaterThanOrEqual">
      <formula>"Setup!C14"</formula>
    </cfRule>
  </conditionalFormatting>
  <conditionalFormatting sqref="C8:F8">
    <cfRule type="containsText" dxfId="248" priority="29" operator="containsText" text="Exceptional">
      <formula>NOT(ISERROR(SEARCH("Exceptional",C8)))</formula>
    </cfRule>
  </conditionalFormatting>
  <conditionalFormatting sqref="C8:F10">
    <cfRule type="containsText" dxfId="247" priority="24" operator="containsText" text="Unacceptable">
      <formula>NOT(ISERROR(SEARCH("Unacceptable",C8)))</formula>
    </cfRule>
    <cfRule type="containsText" dxfId="246" priority="26" operator="containsText" text="Fully Successful">
      <formula>NOT(ISERROR(SEARCH("Fully Successful",C8)))</formula>
    </cfRule>
  </conditionalFormatting>
  <conditionalFormatting sqref="C9:F10">
    <cfRule type="containsText" dxfId="245" priority="27" operator="containsText" text="Excellent">
      <formula>NOT(ISERROR(SEARCH("Excellent",C9)))</formula>
    </cfRule>
    <cfRule type="containsText" dxfId="244" priority="25" operator="containsText" text="Minimally Successful">
      <formula>NOT(ISERROR(SEARCH("Minimally Successful",C9)))</formula>
    </cfRule>
    <cfRule type="containsText" dxfId="243" priority="28" operator="containsText" text="Outstanding">
      <formula>NOT(ISERROR(SEARCH("Outstanding",C9)))</formula>
    </cfRule>
  </conditionalFormatting>
  <conditionalFormatting sqref="E7">
    <cfRule type="cellIs" dxfId="222" priority="50" operator="notEqual">
      <formula>1</formula>
    </cfRule>
  </conditionalFormatting>
  <conditionalFormatting sqref="H3">
    <cfRule type="cellIs" dxfId="210" priority="59" operator="notEqual">
      <formula>1</formula>
    </cfRule>
  </conditionalFormatting>
  <conditionalFormatting sqref="H4">
    <cfRule type="cellIs" dxfId="209" priority="43" operator="notEqual">
      <formula>1</formula>
    </cfRule>
  </conditionalFormatting>
  <conditionalFormatting sqref="H5">
    <cfRule type="cellIs" dxfId="208" priority="58" operator="notEqual">
      <formula>1</formula>
    </cfRule>
  </conditionalFormatting>
  <conditionalFormatting sqref="H6">
    <cfRule type="cellIs" dxfId="207" priority="57" operator="notEqual">
      <formula>1</formula>
    </cfRule>
  </conditionalFormatting>
  <conditionalFormatting sqref="H7">
    <cfRule type="cellIs" dxfId="206" priority="56" operator="notEqual">
      <formula>1</formula>
    </cfRule>
  </conditionalFormatting>
  <conditionalFormatting sqref="H8">
    <cfRule type="cellIs" dxfId="205" priority="55" operator="notEqual">
      <formula>1</formula>
    </cfRule>
  </conditionalFormatting>
  <conditionalFormatting sqref="H9">
    <cfRule type="cellIs" dxfId="204" priority="44" operator="notEqual">
      <formula>1</formula>
    </cfRule>
  </conditionalFormatting>
  <conditionalFormatting sqref="J19">
    <cfRule type="containsText" dxfId="203" priority="3" operator="containsText" text="Exceptional">
      <formula>NOT(ISERROR(SEARCH("Exceptional",J19)))</formula>
    </cfRule>
    <cfRule type="beginsWith" dxfId="202" priority="1" operator="beginsWith" text="Fulfilled">
      <formula>LEFT(J19,LEN("Fulfilled"))="Fulfilled"</formula>
    </cfRule>
    <cfRule type="beginsWith" dxfId="201" priority="4" operator="beginsWith" text="Fully Successful">
      <formula>LEFT(J19,LEN("Fully Successful"))="Fully Successful"</formula>
    </cfRule>
    <cfRule type="containsText" dxfId="200" priority="2" operator="containsText" text="Not Fulfilled">
      <formula>NOT(ISERROR(SEARCH("Not Fulfilled",J19)))</formula>
    </cfRule>
    <cfRule type="beginsWith" dxfId="199" priority="5" operator="beginsWith" text="Not Fully Successful">
      <formula>LEFT(J19,LEN("Not Fully Successful"))="Not Fully Successful"</formula>
    </cfRule>
  </conditionalFormatting>
  <conditionalFormatting sqref="L2 Q2 S2">
    <cfRule type="beginsWith" dxfId="198" priority="10" operator="beginsWith" text="Not Fully Successful">
      <formula>LEFT(L2,LEN("Not Fully Successful"))="Not Fully Successful"</formula>
    </cfRule>
    <cfRule type="containsText" dxfId="197" priority="8" operator="containsText" text="Exceptional">
      <formula>NOT(ISERROR(SEARCH("Exceptional",L2)))</formula>
    </cfRule>
    <cfRule type="containsText" dxfId="196" priority="7" operator="containsText" text="Not Fulfilled">
      <formula>NOT(ISERROR(SEARCH("Not Fulfilled",L2)))</formula>
    </cfRule>
    <cfRule type="beginsWith" dxfId="195" priority="6" operator="beginsWith" text="Fulfilled">
      <formula>LEFT(L2,LEN("Fulfilled"))="Fulfilled"</formula>
    </cfRule>
    <cfRule type="beginsWith" dxfId="194" priority="9" operator="beginsWith" text="Fully Successful">
      <formula>LEFT(L2,LEN("Fully Successful"))="Fully Successful"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79" operator="greaterThan" id="{1DA75006-C2E4-4D71-A03B-925ED562FBDF}">
            <xm:f>SetUp!C7</xm:f>
            <x14:dxf>
              <font>
                <color auto="1"/>
              </font>
              <fill>
                <patternFill>
                  <bgColor rgb="FFFF0000"/>
                </patternFill>
              </fill>
            </x14:dxf>
          </x14:cfRule>
          <x14:cfRule type="cellIs" priority="78" operator="lessThanOrEqual" id="{3B9797A5-C502-4A50-A9CA-BC6C7EC5F1CC}">
            <xm:f>SetUp!C7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14:cfRule type="cellIs" priority="77" operator="lessThanOrEqual" id="{211AC9B1-EC95-4F19-B93C-779188938313}">
            <xm:f>SetUp!D7</xm:f>
            <x14:dxf>
              <font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m:sqref>C3</xm:sqref>
        </x14:conditionalFormatting>
        <x14:conditionalFormatting xmlns:xm="http://schemas.microsoft.com/office/excel/2006/main">
          <x14:cfRule type="cellIs" priority="76" operator="lessThan" id="{523277FD-CB2C-45D0-953E-AA0C23F80FF1}">
            <xm:f>SetUp!C8</xm:f>
            <x14:dxf>
              <font>
                <color auto="1"/>
              </font>
              <fill>
                <patternFill>
                  <bgColor rgb="FFFF0000"/>
                </patternFill>
              </fill>
            </x14:dxf>
          </x14:cfRule>
          <x14:cfRule type="cellIs" priority="75" operator="greaterThanOrEqual" id="{340E5D13-499C-4A03-9A0D-D1C246D1644D}">
            <xm:f>SetUp!C8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14:cfRule type="cellIs" priority="74" stopIfTrue="1" operator="greaterThanOrEqual" id="{467F1D1B-3526-4517-A784-9F40697FB89C}">
            <xm:f>SetUp!D8</xm:f>
            <x14:dxf>
              <font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m:sqref>C4</xm:sqref>
        </x14:conditionalFormatting>
        <x14:conditionalFormatting xmlns:xm="http://schemas.microsoft.com/office/excel/2006/main">
          <x14:cfRule type="cellIs" priority="73" operator="lessThan" id="{59A14F27-CB52-46E3-B020-3494AF97C684}">
            <xm:f>SetUp!C12</xm:f>
            <x14:dxf>
              <font>
                <color theme="1"/>
              </font>
              <fill>
                <patternFill>
                  <bgColor theme="7" tint="0.79998168889431442"/>
                </patternFill>
              </fill>
            </x14:dxf>
          </x14:cfRule>
          <xm:sqref>C5</xm:sqref>
        </x14:conditionalFormatting>
        <x14:conditionalFormatting xmlns:xm="http://schemas.microsoft.com/office/excel/2006/main">
          <x14:cfRule type="cellIs" priority="39" operator="greaterThanOrEqual" id="{A2FD23C8-B591-4CB1-B0F6-7A6E1F5CB5A5}">
            <xm:f>SetUp!C12</xm:f>
            <x14:dxf>
              <font>
                <color theme="0"/>
              </font>
              <fill>
                <patternFill>
                  <bgColor theme="7" tint="-0.24994659260841701"/>
                </patternFill>
              </fill>
            </x14:dxf>
          </x14:cfRule>
          <xm:sqref>C5:C6</xm:sqref>
        </x14:conditionalFormatting>
        <x14:conditionalFormatting xmlns:xm="http://schemas.microsoft.com/office/excel/2006/main">
          <x14:cfRule type="cellIs" priority="63" operator="lessThan" id="{9B0862BE-DE8E-491A-951F-5B95033472D4}">
            <xm:f>SetUp!C13</xm:f>
            <x14:dxf>
              <fill>
                <patternFill>
                  <bgColor theme="7" tint="0.79998168889431442"/>
                </patternFill>
              </fill>
            </x14:dxf>
          </x14:cfRule>
          <xm:sqref>C6</xm:sqref>
        </x14:conditionalFormatting>
        <x14:conditionalFormatting xmlns:xm="http://schemas.microsoft.com/office/excel/2006/main">
          <x14:cfRule type="cellIs" priority="38" operator="lessThan" id="{C693B2BC-7017-4F01-B886-1A1091ABD47F}">
            <xm:f>SetUp!C14</xm:f>
            <x14:dxf>
              <fill>
                <patternFill>
                  <bgColor theme="7" tint="0.79998168889431442"/>
                </patternFill>
              </fill>
            </x14:dxf>
          </x14:cfRule>
          <xm:sqref>C7</xm:sqref>
        </x14:conditionalFormatting>
        <x14:conditionalFormatting xmlns:xm="http://schemas.microsoft.com/office/excel/2006/main">
          <x14:cfRule type="cellIs" priority="71" operator="greaterThanOrEqual" id="{E0E02C7C-CFCF-408B-96C8-FFEE95396884}">
            <xm:f>SetUp!E7</xm:f>
            <x14:dxf>
              <fill>
                <patternFill>
                  <bgColor theme="9" tint="0.79998168889431442"/>
                </patternFill>
              </fill>
            </x14:dxf>
          </x14:cfRule>
          <x14:cfRule type="cellIs" priority="72" operator="lessThan" id="{F5E56831-A908-4BFF-A4E3-27EAA3C53A17}">
            <xm:f>SetUp!E7</xm:f>
            <x14:dxf>
              <fill>
                <patternFill>
                  <bgColor rgb="FFFF0000"/>
                </patternFill>
              </fill>
            </x14:dxf>
          </x14:cfRule>
          <x14:cfRule type="cellIs" priority="70" stopIfTrue="1" operator="greaterThanOrEqual" id="{6B47C554-1D08-4CA2-ACEE-41B19DF542AC}">
            <xm:f>SetUp!F7</xm:f>
            <x14:dxf>
              <font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m:sqref>D3 D5</xm:sqref>
        </x14:conditionalFormatting>
        <x14:conditionalFormatting xmlns:xm="http://schemas.microsoft.com/office/excel/2006/main">
          <x14:cfRule type="cellIs" priority="69" operator="lessThanOrEqual" id="{61665CC5-C171-4F9E-8DC7-0DD255B07F2B}">
            <xm:f>SetUp!E8</xm:f>
            <x14:dxf>
              <fill>
                <patternFill>
                  <bgColor theme="9" tint="0.79998168889431442"/>
                </patternFill>
              </fill>
            </x14:dxf>
          </x14:cfRule>
          <x14:cfRule type="cellIs" priority="68" stopIfTrue="1" operator="lessThanOrEqual" id="{DA3722A2-276E-4E09-8189-3C14C711E370}">
            <xm:f>SetUp!F8</xm:f>
            <x14:dxf>
              <font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ellIs" priority="67" operator="greaterThan" id="{BE4133B8-CC6D-49BB-8880-27FF8F1D913E}">
            <xm:f>SetUp!E8</xm:f>
            <x14:dxf>
              <fill>
                <patternFill>
                  <bgColor rgb="FFFF0000"/>
                </patternFill>
              </fill>
            </x14:dxf>
          </x14:cfRule>
          <xm:sqref>D4</xm:sqref>
        </x14:conditionalFormatting>
        <x14:conditionalFormatting xmlns:xm="http://schemas.microsoft.com/office/excel/2006/main">
          <x14:cfRule type="cellIs" priority="41" operator="lessThan" id="{79699498-1BCF-4DFE-98F5-8035C5FF1739}">
            <xm:f>SetUp!E13</xm:f>
            <x14:dxf>
              <fill>
                <patternFill>
                  <bgColor theme="7" tint="0.79998168889431442"/>
                </patternFill>
              </fill>
            </x14:dxf>
          </x14:cfRule>
          <x14:cfRule type="cellIs" priority="42" operator="greaterThanOrEqual" id="{1F4322CC-ED0C-4F30-B77B-F7D951B0C54A}">
            <xm:f>SetUp!E13</xm:f>
            <x14:dxf>
              <font>
                <color theme="0"/>
              </font>
              <fill>
                <patternFill>
                  <bgColor theme="7" tint="-0.24994659260841701"/>
                </patternFill>
              </fill>
            </x14:dxf>
          </x14:cfRule>
          <xm:sqref>D6</xm:sqref>
        </x14:conditionalFormatting>
        <x14:conditionalFormatting xmlns:xm="http://schemas.microsoft.com/office/excel/2006/main">
          <x14:cfRule type="cellIs" priority="36" operator="greaterThanOrEqual" id="{24029D4F-3CEC-4857-8575-704A05CCE4C8}">
            <xm:f>SetUp!$E$14</xm:f>
            <x14:dxf>
              <font>
                <color theme="0"/>
              </font>
              <fill>
                <patternFill>
                  <bgColor theme="7" tint="-0.24994659260841701"/>
                </patternFill>
              </fill>
            </x14:dxf>
          </x14:cfRule>
          <x14:cfRule type="cellIs" priority="37" operator="lessThan" id="{3A13D3DB-509A-4553-A926-D20EC09CC9BF}">
            <xm:f>SetUp!$E$14</xm:f>
            <x14:dxf>
              <fill>
                <patternFill>
                  <bgColor theme="7" tint="0.79998168889431442"/>
                </patternFill>
              </fill>
            </x14:dxf>
          </x14:cfRule>
          <xm:sqref>D7</xm:sqref>
        </x14:conditionalFormatting>
        <x14:conditionalFormatting xmlns:xm="http://schemas.microsoft.com/office/excel/2006/main">
          <x14:cfRule type="cellIs" priority="60" operator="lessThan" id="{95307DC5-8B8A-4FB8-B318-13284609CE1C}">
            <xm:f>SetUp!G7</xm:f>
            <x14:dxf>
              <fill>
                <patternFill>
                  <bgColor rgb="FFFF0000"/>
                </patternFill>
              </fill>
            </x14:dxf>
          </x14:cfRule>
          <x14:cfRule type="cellIs" priority="62" operator="greaterThanOrEqual" id="{7DB36F12-3CEA-49C1-9BA1-2ABF228A26E2}">
            <xm:f>SetUp!G7</xm:f>
            <x14:dxf>
              <fill>
                <patternFill>
                  <bgColor theme="9" tint="0.79998168889431442"/>
                </patternFill>
              </fill>
            </x14:dxf>
          </x14:cfRule>
          <x14:cfRule type="cellIs" priority="61" stopIfTrue="1" operator="greaterThanOrEqual" id="{128B6696-9196-48EE-AFC0-D62ED2B1D7CF}">
            <xm:f>SetUp!H7</xm:f>
            <x14:dxf>
              <font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m:sqref>E3</xm:sqref>
        </x14:conditionalFormatting>
        <x14:conditionalFormatting xmlns:xm="http://schemas.microsoft.com/office/excel/2006/main">
          <x14:cfRule type="cellIs" priority="52" operator="greaterThan" id="{AC06AF13-DB9C-49C0-BC04-F473C4975F4E}">
            <xm:f>SetUp!G8</xm:f>
            <x14:dxf>
              <fill>
                <patternFill>
                  <bgColor rgb="FFFF0000"/>
                </patternFill>
              </fill>
            </x14:dxf>
          </x14:cfRule>
          <x14:cfRule type="cellIs" priority="53" operator="lessThanOrEqual" id="{8FC3196A-3DC7-4AFC-B1EE-E4ADA090363E}">
            <xm:f>SetUp!H8</xm:f>
            <x14:dxf>
              <font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ellIs" priority="54" operator="lessThanOrEqual" id="{BC9374B9-3A1D-4067-A78D-5CB01DAC634D}">
            <xm:f>SetUp!G8</xm:f>
            <x14:dxf>
              <fill>
                <patternFill>
                  <bgColor theme="9" tint="0.79998168889431442"/>
                </patternFill>
              </fill>
            </x14:dxf>
          </x14:cfRule>
          <xm:sqref>E4</xm:sqref>
        </x14:conditionalFormatting>
        <x14:conditionalFormatting xmlns:xm="http://schemas.microsoft.com/office/excel/2006/main">
          <x14:cfRule type="cellIs" priority="51" operator="lessThan" id="{6DCE5F5B-767E-4295-BB02-6A885618034B}">
            <xm:f>SetUp!G12</xm:f>
            <x14:dxf>
              <fill>
                <patternFill>
                  <bgColor theme="7" tint="0.79998168889431442"/>
                </patternFill>
              </fill>
            </x14:dxf>
          </x14:cfRule>
          <x14:cfRule type="cellIs" priority="40" operator="greaterThanOrEqual" id="{4EE50CE1-C5E9-4311-AB88-86C5D4056B2D}">
            <xm:f>SetUp!G12</xm:f>
            <x14:dxf>
              <font>
                <color theme="0"/>
              </font>
              <fill>
                <patternFill>
                  <bgColor theme="7" tint="-0.24994659260841701"/>
                </patternFill>
              </fill>
            </x14:dxf>
          </x14:cfRule>
          <xm:sqref>E5</xm:sqref>
        </x14:conditionalFormatting>
        <x14:conditionalFormatting xmlns:xm="http://schemas.microsoft.com/office/excel/2006/main">
          <x14:cfRule type="cellIs" priority="12" operator="lessThan" id="{5825F178-AEBC-4A50-980B-E8A3C773CF2C}">
            <xm:f>SetUp!$G$13</xm:f>
            <x14:dxf>
              <fill>
                <patternFill>
                  <bgColor theme="7" tint="0.79998168889431442"/>
                </patternFill>
              </fill>
            </x14:dxf>
          </x14:cfRule>
          <x14:cfRule type="cellIs" priority="11" operator="greaterThanOrEqual" id="{029417E6-F4B7-4490-9452-2189E8F24935}">
            <xm:f>SetUp!$G$13</xm:f>
            <x14:dxf>
              <font>
                <color theme="0"/>
              </font>
              <fill>
                <patternFill>
                  <bgColor theme="7" tint="-0.24994659260841701"/>
                </patternFill>
              </fill>
            </x14:dxf>
          </x14:cfRule>
          <xm:sqref>E6</xm:sqref>
        </x14:conditionalFormatting>
        <x14:conditionalFormatting xmlns:xm="http://schemas.microsoft.com/office/excel/2006/main">
          <x14:cfRule type="cellIs" priority="47" operator="lessThan" id="{77CFD7A6-3D48-472C-A9C8-7D26D076A5F2}">
            <xm:f>SetUp!I7</xm:f>
            <x14:dxf>
              <fill>
                <patternFill>
                  <bgColor rgb="FFFF0000"/>
                </patternFill>
              </fill>
            </x14:dxf>
          </x14:cfRule>
          <x14:cfRule type="cellIs" priority="48" operator="equal" id="{CD96FCAC-5F54-41E9-8891-787FE2CE0369}">
            <xm:f>SetUp!J7</xm:f>
            <x14:dxf>
              <font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ellIs" priority="49" operator="greaterThanOrEqual" id="{E2223AF6-63C1-44F4-94BD-4498DFD402AB}">
            <xm:f>SetUp!I7</xm:f>
            <x14:dxf>
              <fill>
                <patternFill>
                  <bgColor theme="9" tint="0.79998168889431442"/>
                </patternFill>
              </fill>
            </x14:dxf>
          </x14:cfRule>
          <xm:sqref>F3</xm:sqref>
        </x14:conditionalFormatting>
        <x14:conditionalFormatting xmlns:xm="http://schemas.microsoft.com/office/excel/2006/main">
          <x14:cfRule type="cellIs" priority="45" operator="lessThanOrEqual" id="{920C233A-90C3-4E6F-A27B-7577E92E8BB6}">
            <xm:f>SetUp!I11</xm:f>
            <x14:dxf>
              <font>
                <color theme="0"/>
              </font>
              <fill>
                <patternFill>
                  <bgColor theme="7" tint="-0.24994659260841701"/>
                </patternFill>
              </fill>
            </x14:dxf>
          </x14:cfRule>
          <x14:cfRule type="cellIs" priority="46" operator="greaterThan" id="{5B3C37E1-DCD2-4CBD-87A5-E9DF4A0CA5E3}">
            <xm:f>SetUp!I11</xm:f>
            <x14:dxf>
              <fill>
                <patternFill>
                  <bgColor theme="7" tint="0.79998168889431442"/>
                </patternFill>
              </fill>
            </x14:dxf>
          </x14:cfRule>
          <xm:sqref>F4</xm:sqref>
        </x14:conditionalFormatting>
        <x14:conditionalFormatting xmlns:xm="http://schemas.microsoft.com/office/excel/2006/main">
          <x14:cfRule type="cellIs" priority="35" operator="greaterThanOrEqual" id="{70E226B4-45AA-4DB6-B7C4-C1D06533C38C}">
            <xm:f>SetUp!$I$12</xm:f>
            <x14:dxf>
              <font>
                <color theme="0"/>
              </font>
              <fill>
                <patternFill>
                  <bgColor theme="7" tint="-0.24994659260841701"/>
                </patternFill>
              </fill>
            </x14:dxf>
          </x14:cfRule>
          <x14:cfRule type="cellIs" priority="34" operator="lessThan" id="{B4E5F337-5530-46BB-9893-FE938D595C51}">
            <xm:f>SetUp!$I$12</xm:f>
            <x14:dxf>
              <fill>
                <patternFill>
                  <bgColor theme="7" tint="0.79998168889431442"/>
                </patternFill>
              </fill>
            </x14:dxf>
          </x14:cfRule>
          <xm:sqref>F5</xm:sqref>
        </x14:conditionalFormatting>
        <x14:conditionalFormatting xmlns:xm="http://schemas.microsoft.com/office/excel/2006/main">
          <x14:cfRule type="cellIs" priority="33" operator="greaterThanOrEqual" id="{D4D8640D-CA02-43EA-A4AF-3D8F3B2F2FFE}">
            <xm:f>SetUp!$I$13</xm:f>
            <x14:dxf>
              <font>
                <color theme="0"/>
              </font>
              <fill>
                <patternFill>
                  <bgColor theme="7" tint="-0.24994659260841701"/>
                </patternFill>
              </fill>
            </x14:dxf>
          </x14:cfRule>
          <x14:cfRule type="cellIs" priority="32" operator="lessThan" id="{F388CCE9-D774-46E6-B0D3-2594BFF553FD}">
            <xm:f>SetUp!$I$13</xm:f>
            <x14:dxf>
              <fill>
                <patternFill>
                  <bgColor theme="7" tint="0.79998168889431442"/>
                </patternFill>
              </fill>
            </x14:dxf>
          </x14:cfRule>
          <xm:sqref>F6</xm:sqref>
        </x14:conditionalFormatting>
        <x14:conditionalFormatting xmlns:xm="http://schemas.microsoft.com/office/excel/2006/main">
          <x14:cfRule type="cellIs" priority="31" operator="greaterThanOrEqual" id="{0E45FE47-9CDD-48CE-AD94-DEC2D7114C8C}">
            <xm:f>SetUp!$I$14</xm:f>
            <x14:dxf>
              <font>
                <color theme="0"/>
              </font>
              <fill>
                <patternFill>
                  <bgColor theme="7" tint="-0.24994659260841701"/>
                </patternFill>
              </fill>
            </x14:dxf>
          </x14:cfRule>
          <x14:cfRule type="cellIs" priority="30" operator="lessThan" id="{834C9471-3A65-4102-9467-6FBF12A8C45B}">
            <xm:f>SetUp!$I$14</xm:f>
            <x14:dxf>
              <fill>
                <patternFill>
                  <bgColor theme="7" tint="0.79998168889431442"/>
                </patternFill>
              </fill>
            </x14:dxf>
          </x14:cfRule>
          <xm:sqref>F7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0659A-EA1E-4870-8B23-FF15801CEDC4}">
  <dimension ref="A1:W60"/>
  <sheetViews>
    <sheetView workbookViewId="0">
      <selection activeCell="S14" sqref="S14"/>
    </sheetView>
  </sheetViews>
  <sheetFormatPr defaultColWidth="12" defaultRowHeight="14.5" x14ac:dyDescent="0.35"/>
  <cols>
    <col min="1" max="1" width="4.1796875" style="13" customWidth="1"/>
    <col min="2" max="2" width="12.81640625" style="13" bestFit="1" customWidth="1"/>
    <col min="3" max="5" width="15.54296875" style="13" bestFit="1" customWidth="1"/>
    <col min="6" max="6" width="14.81640625" style="13" customWidth="1"/>
    <col min="7" max="7" width="7.81640625" style="13" bestFit="1" customWidth="1"/>
    <col min="8" max="8" width="6.1796875" style="13" bestFit="1" customWidth="1"/>
    <col min="9" max="9" width="15.54296875" style="13" bestFit="1" customWidth="1"/>
    <col min="10" max="10" width="6.7265625" style="13" bestFit="1" customWidth="1"/>
    <col min="11" max="11" width="14.1796875" style="13" customWidth="1"/>
    <col min="12" max="12" width="14.453125" style="13" customWidth="1"/>
    <col min="13" max="13" width="13.7265625" style="13" customWidth="1"/>
    <col min="14" max="14" width="15.54296875" style="13" customWidth="1"/>
    <col min="15" max="15" width="13.7265625" style="13" customWidth="1"/>
    <col min="16" max="16" width="14.453125" style="13" customWidth="1"/>
    <col min="17" max="17" width="12" style="13" customWidth="1"/>
    <col min="18" max="18" width="15.1796875" style="13" customWidth="1"/>
    <col min="19" max="19" width="12.81640625" style="13" customWidth="1"/>
    <col min="20" max="20" width="10.7265625" style="13" bestFit="1" customWidth="1"/>
    <col min="21" max="21" width="14.26953125" style="13" customWidth="1"/>
    <col min="22" max="22" width="4.453125" style="13" customWidth="1"/>
    <col min="23" max="16384" width="12" style="13"/>
  </cols>
  <sheetData>
    <row r="1" spans="1:23" ht="15" thickBot="1" x14ac:dyDescent="0.4">
      <c r="A1" s="34"/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</row>
    <row r="2" spans="1:23" ht="59" thickTop="1" thickBot="1" x14ac:dyDescent="0.4">
      <c r="A2" s="34"/>
      <c r="B2" s="12"/>
      <c r="C2" s="41" t="s">
        <v>43</v>
      </c>
      <c r="D2" s="42" t="s">
        <v>44</v>
      </c>
      <c r="E2" s="42" t="s">
        <v>45</v>
      </c>
      <c r="F2" s="43" t="s">
        <v>3</v>
      </c>
      <c r="G2" s="34"/>
      <c r="H2" s="133" t="s">
        <v>11</v>
      </c>
      <c r="I2" s="134"/>
      <c r="J2" s="34"/>
      <c r="K2" s="14" t="s">
        <v>21</v>
      </c>
      <c r="L2" s="46" t="s">
        <v>186</v>
      </c>
      <c r="M2" s="97" t="s">
        <v>187</v>
      </c>
      <c r="N2" s="97" t="s">
        <v>189</v>
      </c>
      <c r="O2" s="28" t="s">
        <v>190</v>
      </c>
      <c r="P2" s="97" t="s">
        <v>191</v>
      </c>
      <c r="Q2" s="28" t="s">
        <v>194</v>
      </c>
      <c r="R2" s="28" t="s">
        <v>195</v>
      </c>
      <c r="S2" s="28" t="s">
        <v>198</v>
      </c>
      <c r="T2" s="29" t="s">
        <v>25</v>
      </c>
      <c r="U2" s="34"/>
      <c r="V2" s="34"/>
      <c r="W2" s="34"/>
    </row>
    <row r="3" spans="1:23" ht="15" thickTop="1" x14ac:dyDescent="0.35">
      <c r="A3" s="34"/>
      <c r="B3" s="15" t="s">
        <v>4</v>
      </c>
      <c r="C3" s="60">
        <f>L16</f>
        <v>0</v>
      </c>
      <c r="D3" s="61">
        <f>N16</f>
        <v>99.981725146198826</v>
      </c>
      <c r="E3" s="61">
        <f>Q16</f>
        <v>3.8218962807752752</v>
      </c>
      <c r="F3" s="62">
        <f>S16</f>
        <v>100</v>
      </c>
      <c r="G3" s="39"/>
      <c r="H3" s="16"/>
      <c r="I3" s="17" t="s">
        <v>41</v>
      </c>
      <c r="J3" s="34"/>
      <c r="K3" s="45">
        <v>10</v>
      </c>
      <c r="L3" s="47">
        <v>0</v>
      </c>
      <c r="M3" s="48">
        <v>0</v>
      </c>
      <c r="N3" s="48">
        <v>0</v>
      </c>
      <c r="O3" s="48">
        <v>1</v>
      </c>
      <c r="P3" s="48">
        <v>0</v>
      </c>
      <c r="Q3" s="48">
        <v>519</v>
      </c>
      <c r="R3" s="48">
        <v>0</v>
      </c>
      <c r="S3" s="48">
        <v>0</v>
      </c>
      <c r="T3" s="49">
        <v>3</v>
      </c>
      <c r="U3" s="34"/>
      <c r="V3" s="34"/>
      <c r="W3" s="34"/>
    </row>
    <row r="4" spans="1:23" ht="15" thickBot="1" x14ac:dyDescent="0.4">
      <c r="A4" s="34"/>
      <c r="B4" s="15" t="s">
        <v>5</v>
      </c>
      <c r="C4" s="73">
        <f>M16</f>
        <v>100</v>
      </c>
      <c r="D4" s="61">
        <f>O16</f>
        <v>0.38377192982456138</v>
      </c>
      <c r="E4" s="74">
        <f>R15</f>
        <v>0</v>
      </c>
      <c r="F4" s="72">
        <f>R34</f>
        <v>0</v>
      </c>
      <c r="G4" s="34"/>
      <c r="H4" s="16"/>
      <c r="I4" s="17" t="s">
        <v>42</v>
      </c>
      <c r="J4" s="34"/>
      <c r="K4" s="18">
        <v>11</v>
      </c>
      <c r="L4" s="50">
        <v>0</v>
      </c>
      <c r="M4" s="51">
        <v>0</v>
      </c>
      <c r="N4" s="51">
        <v>0</v>
      </c>
      <c r="O4" s="51">
        <v>0</v>
      </c>
      <c r="P4" s="51">
        <v>0</v>
      </c>
      <c r="Q4" s="51">
        <v>555</v>
      </c>
      <c r="R4" s="51">
        <v>0</v>
      </c>
      <c r="S4" s="51">
        <v>0</v>
      </c>
      <c r="T4" s="52">
        <v>1</v>
      </c>
      <c r="U4" s="34"/>
      <c r="V4" s="34"/>
      <c r="W4" s="34"/>
    </row>
    <row r="5" spans="1:23" ht="15.5" thickTop="1" thickBot="1" x14ac:dyDescent="0.4">
      <c r="A5" s="34"/>
      <c r="B5" s="15" t="s">
        <v>6</v>
      </c>
      <c r="C5" s="69">
        <f>K34</f>
        <v>1</v>
      </c>
      <c r="D5" s="74">
        <f>P16</f>
        <v>100</v>
      </c>
      <c r="E5" s="70">
        <f>P34</f>
        <v>1</v>
      </c>
      <c r="F5" s="71">
        <f>S34</f>
        <v>0</v>
      </c>
      <c r="G5" s="34"/>
      <c r="H5" s="16"/>
      <c r="I5" s="17" t="s">
        <v>9</v>
      </c>
      <c r="J5" s="34"/>
      <c r="K5" s="18">
        <v>12</v>
      </c>
      <c r="L5" s="50">
        <v>0</v>
      </c>
      <c r="M5" s="51">
        <v>0</v>
      </c>
      <c r="N5" s="51">
        <v>0</v>
      </c>
      <c r="O5" s="51">
        <v>5</v>
      </c>
      <c r="P5" s="51">
        <v>0</v>
      </c>
      <c r="Q5" s="51">
        <v>608</v>
      </c>
      <c r="R5" s="51">
        <v>0</v>
      </c>
      <c r="S5" s="51">
        <v>0</v>
      </c>
      <c r="T5" s="52">
        <v>3</v>
      </c>
      <c r="U5" s="34"/>
      <c r="V5" s="34"/>
      <c r="W5" s="34"/>
    </row>
    <row r="6" spans="1:23" ht="15" thickTop="1" x14ac:dyDescent="0.35">
      <c r="A6" s="34"/>
      <c r="B6" s="15" t="s">
        <v>7</v>
      </c>
      <c r="C6" s="63">
        <f>L34</f>
        <v>4</v>
      </c>
      <c r="D6" s="70">
        <f>N34</f>
        <v>1</v>
      </c>
      <c r="E6" s="64">
        <f>Q34</f>
        <v>0</v>
      </c>
      <c r="F6" s="65">
        <f>T34</f>
        <v>0</v>
      </c>
      <c r="G6" s="34"/>
      <c r="H6" s="16"/>
      <c r="I6" s="17" t="s">
        <v>10</v>
      </c>
      <c r="J6" s="34"/>
      <c r="K6" s="18">
        <v>1</v>
      </c>
      <c r="L6" s="50">
        <v>0</v>
      </c>
      <c r="M6" s="51">
        <v>0</v>
      </c>
      <c r="N6" s="51">
        <v>0</v>
      </c>
      <c r="O6" s="51">
        <v>3</v>
      </c>
      <c r="P6" s="51">
        <v>0</v>
      </c>
      <c r="Q6" s="51">
        <v>344</v>
      </c>
      <c r="R6" s="51">
        <v>0</v>
      </c>
      <c r="S6" s="51">
        <v>0</v>
      </c>
      <c r="T6" s="52">
        <v>5</v>
      </c>
      <c r="U6" s="34"/>
      <c r="V6" s="34"/>
      <c r="W6" s="34"/>
    </row>
    <row r="7" spans="1:23" ht="15" thickBot="1" x14ac:dyDescent="0.4">
      <c r="A7" s="34"/>
      <c r="B7" s="19" t="s">
        <v>8</v>
      </c>
      <c r="C7" s="66">
        <f>M34</f>
        <v>0</v>
      </c>
      <c r="D7" s="67">
        <f>O34</f>
        <v>0</v>
      </c>
      <c r="E7" s="67"/>
      <c r="F7" s="68">
        <f>U34</f>
        <v>0</v>
      </c>
      <c r="G7" s="34"/>
      <c r="H7" s="16"/>
      <c r="I7" s="17" t="s">
        <v>14</v>
      </c>
      <c r="J7" s="34"/>
      <c r="K7" s="18">
        <v>2</v>
      </c>
      <c r="L7" s="50">
        <v>0</v>
      </c>
      <c r="M7" s="51">
        <v>0</v>
      </c>
      <c r="N7" s="51">
        <v>0</v>
      </c>
      <c r="O7" s="51">
        <v>2</v>
      </c>
      <c r="P7" s="51">
        <v>0</v>
      </c>
      <c r="Q7" s="51">
        <v>400</v>
      </c>
      <c r="R7" s="51">
        <v>0</v>
      </c>
      <c r="S7" s="51">
        <v>0</v>
      </c>
      <c r="T7" s="52">
        <v>0</v>
      </c>
      <c r="U7" s="34"/>
      <c r="V7" s="34"/>
      <c r="W7" s="34"/>
    </row>
    <row r="8" spans="1:23" ht="20.25" customHeight="1" thickTop="1" thickBot="1" x14ac:dyDescent="0.4">
      <c r="A8" s="34"/>
      <c r="B8" s="20" t="s">
        <v>12</v>
      </c>
      <c r="C8" s="21" t="str">
        <f>K42</f>
        <v>Exceptional</v>
      </c>
      <c r="D8" s="21" t="str">
        <f>L42</f>
        <v>Fully Successful</v>
      </c>
      <c r="E8" s="21" t="str">
        <f>M42</f>
        <v>Exceptional</v>
      </c>
      <c r="F8" s="21" t="str">
        <f>N42</f>
        <v>Fully Successful</v>
      </c>
      <c r="G8" s="34"/>
      <c r="H8" s="22"/>
      <c r="I8" s="23" t="s">
        <v>13</v>
      </c>
      <c r="J8" s="34"/>
      <c r="K8" s="18">
        <v>3</v>
      </c>
      <c r="L8" s="50">
        <v>0</v>
      </c>
      <c r="M8" s="51">
        <v>0</v>
      </c>
      <c r="N8" s="51">
        <v>0</v>
      </c>
      <c r="O8" s="51">
        <v>3</v>
      </c>
      <c r="P8" s="51">
        <v>0</v>
      </c>
      <c r="Q8" s="51">
        <v>465</v>
      </c>
      <c r="R8" s="51">
        <v>0</v>
      </c>
      <c r="S8" s="51">
        <v>0</v>
      </c>
      <c r="T8" s="52">
        <v>4</v>
      </c>
      <c r="U8" s="34"/>
      <c r="V8" s="34"/>
      <c r="W8" s="34"/>
    </row>
    <row r="9" spans="1:23" ht="15" thickTop="1" x14ac:dyDescent="0.35">
      <c r="A9" s="34"/>
      <c r="B9" s="135" t="s">
        <v>31</v>
      </c>
      <c r="C9" s="137" t="str">
        <f>N44</f>
        <v>Fully Successful</v>
      </c>
      <c r="D9" s="138"/>
      <c r="E9" s="138"/>
      <c r="F9" s="139"/>
      <c r="G9" s="34"/>
      <c r="H9" s="22"/>
      <c r="I9" s="23" t="s">
        <v>40</v>
      </c>
      <c r="J9" s="34"/>
      <c r="K9" s="18">
        <v>4</v>
      </c>
      <c r="L9" s="50">
        <v>0</v>
      </c>
      <c r="M9" s="51">
        <v>0</v>
      </c>
      <c r="N9" s="51">
        <v>0</v>
      </c>
      <c r="O9" s="51">
        <v>0</v>
      </c>
      <c r="P9" s="51">
        <v>0</v>
      </c>
      <c r="Q9" s="51">
        <v>376</v>
      </c>
      <c r="R9" s="51">
        <v>0</v>
      </c>
      <c r="S9" s="51">
        <v>0</v>
      </c>
      <c r="T9" s="52">
        <v>0</v>
      </c>
      <c r="U9" s="34"/>
      <c r="V9" s="34"/>
      <c r="W9" s="34"/>
    </row>
    <row r="10" spans="1:23" ht="15" thickBot="1" x14ac:dyDescent="0.4">
      <c r="A10" s="34"/>
      <c r="B10" s="136"/>
      <c r="C10" s="140"/>
      <c r="D10" s="141"/>
      <c r="E10" s="141"/>
      <c r="F10" s="142"/>
      <c r="G10" s="34"/>
      <c r="H10" s="24" t="s">
        <v>46</v>
      </c>
      <c r="I10" s="25" t="s">
        <v>47</v>
      </c>
      <c r="J10" s="34"/>
      <c r="K10" s="18">
        <v>5</v>
      </c>
      <c r="L10" s="50">
        <v>0</v>
      </c>
      <c r="M10" s="51">
        <v>0</v>
      </c>
      <c r="N10" s="51">
        <v>1</v>
      </c>
      <c r="O10" s="51">
        <v>2</v>
      </c>
      <c r="P10" s="51">
        <v>0</v>
      </c>
      <c r="Q10" s="51">
        <v>379</v>
      </c>
      <c r="R10" s="51">
        <v>0</v>
      </c>
      <c r="S10" s="51">
        <v>0</v>
      </c>
      <c r="T10" s="52">
        <v>0</v>
      </c>
      <c r="U10" s="34"/>
      <c r="V10" s="34"/>
      <c r="W10" s="34"/>
    </row>
    <row r="11" spans="1:23" s="26" customFormat="1" ht="15.5" thickTop="1" thickBot="1" x14ac:dyDescent="0.4">
      <c r="A11" s="34"/>
      <c r="B11" s="34"/>
      <c r="C11" s="40"/>
      <c r="D11" s="40"/>
      <c r="E11" s="40"/>
      <c r="F11" s="40"/>
      <c r="G11" s="34"/>
      <c r="H11" s="34"/>
      <c r="I11" s="34"/>
      <c r="J11" s="34"/>
      <c r="K11" s="18">
        <v>6</v>
      </c>
      <c r="L11" s="50">
        <v>0</v>
      </c>
      <c r="M11" s="51">
        <v>0</v>
      </c>
      <c r="N11" s="51">
        <v>0</v>
      </c>
      <c r="O11" s="51">
        <v>0</v>
      </c>
      <c r="P11" s="51">
        <v>0</v>
      </c>
      <c r="Q11" s="51">
        <v>768</v>
      </c>
      <c r="R11" s="51">
        <v>0</v>
      </c>
      <c r="S11" s="51">
        <v>0</v>
      </c>
      <c r="T11" s="52">
        <v>0</v>
      </c>
      <c r="U11" s="34"/>
      <c r="V11" s="34"/>
      <c r="W11" s="34"/>
    </row>
    <row r="12" spans="1:23" ht="15.5" thickTop="1" thickBot="1" x14ac:dyDescent="0.4">
      <c r="A12" s="34"/>
      <c r="B12" s="14" t="s">
        <v>22</v>
      </c>
      <c r="C12" s="27" t="s">
        <v>15</v>
      </c>
      <c r="D12" s="28" t="s">
        <v>16</v>
      </c>
      <c r="E12" s="28" t="s">
        <v>17</v>
      </c>
      <c r="F12" s="28" t="s">
        <v>18</v>
      </c>
      <c r="G12" s="28" t="s">
        <v>19</v>
      </c>
      <c r="H12" s="29" t="s">
        <v>20</v>
      </c>
      <c r="I12" s="34"/>
      <c r="J12" s="34"/>
      <c r="K12" s="18">
        <v>7</v>
      </c>
      <c r="L12" s="50">
        <v>0</v>
      </c>
      <c r="M12" s="51">
        <v>0</v>
      </c>
      <c r="N12" s="51">
        <v>0</v>
      </c>
      <c r="O12" s="51">
        <v>5</v>
      </c>
      <c r="P12" s="51">
        <v>0</v>
      </c>
      <c r="Q12" s="51">
        <v>1058</v>
      </c>
      <c r="R12" s="51">
        <v>0</v>
      </c>
      <c r="S12" s="51">
        <v>0</v>
      </c>
      <c r="T12" s="52">
        <v>1</v>
      </c>
      <c r="U12" s="34"/>
      <c r="V12" s="34"/>
      <c r="W12" s="34"/>
    </row>
    <row r="13" spans="1:23" ht="15" thickTop="1" x14ac:dyDescent="0.35">
      <c r="A13" s="34"/>
      <c r="B13" s="12">
        <v>20</v>
      </c>
      <c r="C13" s="47">
        <v>61</v>
      </c>
      <c r="D13" s="48">
        <v>0.5</v>
      </c>
      <c r="E13" s="48">
        <v>8</v>
      </c>
      <c r="F13" s="48">
        <v>3</v>
      </c>
      <c r="G13" s="48">
        <v>8</v>
      </c>
      <c r="H13" s="49">
        <v>0</v>
      </c>
      <c r="I13" s="34"/>
      <c r="J13" s="34"/>
      <c r="K13" s="18">
        <v>8</v>
      </c>
      <c r="L13" s="50"/>
      <c r="M13" s="51"/>
      <c r="N13" s="51"/>
      <c r="O13" s="51"/>
      <c r="P13" s="51"/>
      <c r="Q13" s="51"/>
      <c r="R13" s="51"/>
      <c r="S13" s="51">
        <v>0</v>
      </c>
      <c r="T13" s="52">
        <v>5</v>
      </c>
      <c r="U13" s="34"/>
      <c r="V13" s="34"/>
      <c r="W13" s="34"/>
    </row>
    <row r="14" spans="1:23" ht="15" thickBot="1" x14ac:dyDescent="0.4">
      <c r="A14" s="34"/>
      <c r="B14" s="30">
        <v>21</v>
      </c>
      <c r="C14" s="50">
        <v>72</v>
      </c>
      <c r="D14" s="51">
        <v>0.5</v>
      </c>
      <c r="E14" s="51">
        <v>8</v>
      </c>
      <c r="F14" s="51">
        <v>0</v>
      </c>
      <c r="G14" s="51">
        <v>0</v>
      </c>
      <c r="H14" s="52">
        <v>0</v>
      </c>
      <c r="I14" s="34"/>
      <c r="J14" s="34"/>
      <c r="K14" s="31">
        <v>9</v>
      </c>
      <c r="L14" s="53"/>
      <c r="M14" s="54"/>
      <c r="N14" s="54"/>
      <c r="O14" s="54"/>
      <c r="P14" s="54"/>
      <c r="Q14" s="54"/>
      <c r="R14" s="54"/>
      <c r="S14" s="54"/>
      <c r="T14" s="55">
        <v>1</v>
      </c>
      <c r="U14" s="34"/>
      <c r="V14" s="34"/>
      <c r="W14" s="34"/>
    </row>
    <row r="15" spans="1:23" ht="17" thickTop="1" thickBot="1" x14ac:dyDescent="0.4">
      <c r="A15" s="34"/>
      <c r="B15" s="30">
        <v>22</v>
      </c>
      <c r="C15" s="50">
        <v>68.5</v>
      </c>
      <c r="D15" s="51">
        <v>1.25</v>
      </c>
      <c r="E15" s="51">
        <v>0</v>
      </c>
      <c r="F15" s="51">
        <v>3.5</v>
      </c>
      <c r="G15" s="51">
        <v>8</v>
      </c>
      <c r="H15" s="52">
        <v>0</v>
      </c>
      <c r="I15" s="34"/>
      <c r="J15" s="34"/>
      <c r="K15" s="32" t="s">
        <v>23</v>
      </c>
      <c r="L15" s="21">
        <f t="shared" ref="L15:R15" si="0">SUM(L3:L14)</f>
        <v>0</v>
      </c>
      <c r="M15" s="21">
        <f t="shared" si="0"/>
        <v>0</v>
      </c>
      <c r="N15" s="21">
        <f t="shared" si="0"/>
        <v>1</v>
      </c>
      <c r="O15" s="21">
        <f t="shared" si="0"/>
        <v>21</v>
      </c>
      <c r="P15" s="21">
        <f t="shared" si="0"/>
        <v>0</v>
      </c>
      <c r="Q15" s="21">
        <f t="shared" si="0"/>
        <v>5472</v>
      </c>
      <c r="R15" s="21">
        <f t="shared" si="0"/>
        <v>0</v>
      </c>
      <c r="S15" s="21">
        <f>SUM(S3:S14)</f>
        <v>0</v>
      </c>
      <c r="T15" s="21">
        <f>SUM(T3:T14)</f>
        <v>23</v>
      </c>
      <c r="U15" s="34"/>
      <c r="V15" s="34"/>
      <c r="W15" s="34"/>
    </row>
    <row r="16" spans="1:23" ht="17" thickTop="1" thickBot="1" x14ac:dyDescent="0.4">
      <c r="A16" s="34"/>
      <c r="B16" s="30">
        <v>23</v>
      </c>
      <c r="C16" s="50">
        <v>63</v>
      </c>
      <c r="D16" s="51">
        <v>0.5</v>
      </c>
      <c r="E16" s="51">
        <v>0</v>
      </c>
      <c r="F16" s="51">
        <v>9</v>
      </c>
      <c r="G16" s="51">
        <v>8</v>
      </c>
      <c r="H16" s="52">
        <v>0</v>
      </c>
      <c r="I16" s="34"/>
      <c r="J16" s="34"/>
      <c r="K16" s="32" t="s">
        <v>24</v>
      </c>
      <c r="L16" s="59">
        <f>SUM((L15/Q15)*100)</f>
        <v>0</v>
      </c>
      <c r="M16" s="59">
        <f>SUM((1-((M15)/Q15))*100)</f>
        <v>100</v>
      </c>
      <c r="N16" s="59">
        <f>SUM((1-(N15/Q15))*100)</f>
        <v>99.981725146198826</v>
      </c>
      <c r="O16" s="59">
        <f>SUM(O15/Q15)*100</f>
        <v>0.38377192982456138</v>
      </c>
      <c r="P16" s="59">
        <f>SUM((1-(P15/Q15))*100)</f>
        <v>100</v>
      </c>
      <c r="Q16" s="59">
        <f>Q15/F47</f>
        <v>3.8218962807752752</v>
      </c>
      <c r="R16" s="59"/>
      <c r="S16" s="59">
        <f>SUM((1-(S15/T15))*100)</f>
        <v>100</v>
      </c>
      <c r="T16" s="59"/>
      <c r="U16" s="34"/>
      <c r="V16" s="34"/>
      <c r="W16" s="34"/>
    </row>
    <row r="17" spans="1:23" ht="17" thickTop="1" thickBot="1" x14ac:dyDescent="0.4">
      <c r="A17" s="34"/>
      <c r="B17" s="30">
        <v>24</v>
      </c>
      <c r="C17" s="50">
        <v>69</v>
      </c>
      <c r="D17" s="51">
        <v>0</v>
      </c>
      <c r="E17" s="51">
        <v>7</v>
      </c>
      <c r="F17" s="51">
        <v>4</v>
      </c>
      <c r="G17" s="51">
        <v>0</v>
      </c>
      <c r="H17" s="52">
        <v>0</v>
      </c>
      <c r="I17" s="34"/>
      <c r="J17" s="34"/>
      <c r="K17" s="32" t="s">
        <v>27</v>
      </c>
      <c r="L17" s="21" t="s">
        <v>28</v>
      </c>
      <c r="M17" s="21" t="s">
        <v>32</v>
      </c>
      <c r="N17" s="21" t="s">
        <v>33</v>
      </c>
      <c r="O17" s="21" t="s">
        <v>35</v>
      </c>
      <c r="P17" s="21" t="s">
        <v>34</v>
      </c>
      <c r="Q17" s="21" t="s">
        <v>37</v>
      </c>
      <c r="R17" s="21" t="s">
        <v>36</v>
      </c>
      <c r="S17" s="21" t="s">
        <v>61</v>
      </c>
      <c r="T17" s="21"/>
      <c r="U17" s="34"/>
      <c r="V17" s="34"/>
      <c r="W17" s="34"/>
    </row>
    <row r="18" spans="1:23" ht="15.5" thickTop="1" thickBot="1" x14ac:dyDescent="0.4">
      <c r="A18" s="34"/>
      <c r="B18" s="30">
        <v>25</v>
      </c>
      <c r="C18" s="50">
        <v>56</v>
      </c>
      <c r="D18" s="51">
        <v>0</v>
      </c>
      <c r="E18" s="51">
        <v>0</v>
      </c>
      <c r="F18" s="51">
        <v>0</v>
      </c>
      <c r="G18" s="51">
        <v>21</v>
      </c>
      <c r="H18" s="52">
        <v>3</v>
      </c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</row>
    <row r="19" spans="1:23" ht="15.75" customHeight="1" thickTop="1" x14ac:dyDescent="0.35">
      <c r="A19" s="34"/>
      <c r="B19" s="30">
        <v>26</v>
      </c>
      <c r="C19" s="50">
        <v>56</v>
      </c>
      <c r="D19" s="51">
        <v>0</v>
      </c>
      <c r="E19" s="51">
        <v>16</v>
      </c>
      <c r="F19" s="51">
        <v>0</v>
      </c>
      <c r="G19" s="51">
        <v>8</v>
      </c>
      <c r="H19" s="52">
        <v>0</v>
      </c>
      <c r="I19" s="34"/>
      <c r="J19" s="143" t="s">
        <v>21</v>
      </c>
      <c r="K19" s="146" t="s">
        <v>188</v>
      </c>
      <c r="L19" s="146" t="s">
        <v>202</v>
      </c>
      <c r="M19" s="146" t="s">
        <v>201</v>
      </c>
      <c r="N19" s="146" t="s">
        <v>192</v>
      </c>
      <c r="O19" s="146" t="s">
        <v>193</v>
      </c>
      <c r="P19" s="146" t="s">
        <v>196</v>
      </c>
      <c r="Q19" s="146" t="s">
        <v>197</v>
      </c>
      <c r="R19" s="146" t="s">
        <v>203</v>
      </c>
      <c r="S19" s="146" t="s">
        <v>199</v>
      </c>
      <c r="T19" s="146" t="s">
        <v>204</v>
      </c>
      <c r="U19" s="149" t="s">
        <v>200</v>
      </c>
      <c r="V19" s="34"/>
      <c r="W19" s="34"/>
    </row>
    <row r="20" spans="1:23" ht="25" customHeight="1" x14ac:dyDescent="0.35">
      <c r="A20" s="34"/>
      <c r="B20" s="30">
        <v>1</v>
      </c>
      <c r="C20" s="50">
        <v>65.25</v>
      </c>
      <c r="D20" s="51">
        <v>0</v>
      </c>
      <c r="E20" s="51">
        <v>0</v>
      </c>
      <c r="F20" s="51">
        <v>6.75</v>
      </c>
      <c r="G20" s="51">
        <v>8</v>
      </c>
      <c r="H20" s="52">
        <v>0</v>
      </c>
      <c r="I20" s="34"/>
      <c r="J20" s="144"/>
      <c r="K20" s="147"/>
      <c r="L20" s="147"/>
      <c r="M20" s="147"/>
      <c r="N20" s="147"/>
      <c r="O20" s="147"/>
      <c r="P20" s="147"/>
      <c r="Q20" s="147"/>
      <c r="R20" s="147"/>
      <c r="S20" s="147"/>
      <c r="T20" s="147"/>
      <c r="U20" s="150"/>
      <c r="V20" s="34"/>
      <c r="W20" s="34"/>
    </row>
    <row r="21" spans="1:23" ht="15" thickBot="1" x14ac:dyDescent="0.4">
      <c r="A21" s="34"/>
      <c r="B21" s="30">
        <v>2</v>
      </c>
      <c r="C21" s="50">
        <v>68.5</v>
      </c>
      <c r="D21" s="51">
        <v>0</v>
      </c>
      <c r="E21" s="51">
        <v>2.5</v>
      </c>
      <c r="F21" s="51">
        <v>9</v>
      </c>
      <c r="G21" s="51">
        <v>0</v>
      </c>
      <c r="H21" s="52">
        <v>0</v>
      </c>
      <c r="I21" s="34"/>
      <c r="J21" s="145"/>
      <c r="K21" s="148"/>
      <c r="L21" s="148"/>
      <c r="M21" s="148"/>
      <c r="N21" s="148"/>
      <c r="O21" s="148"/>
      <c r="P21" s="148"/>
      <c r="Q21" s="148"/>
      <c r="R21" s="148"/>
      <c r="S21" s="148"/>
      <c r="T21" s="148"/>
      <c r="U21" s="151"/>
      <c r="V21" s="34"/>
      <c r="W21" s="34"/>
    </row>
    <row r="22" spans="1:23" ht="15" thickTop="1" x14ac:dyDescent="0.35">
      <c r="A22" s="34"/>
      <c r="B22" s="30">
        <v>3</v>
      </c>
      <c r="C22" s="50">
        <v>71.5</v>
      </c>
      <c r="D22" s="51">
        <v>0</v>
      </c>
      <c r="E22" s="51">
        <v>0.5</v>
      </c>
      <c r="F22" s="51">
        <v>8</v>
      </c>
      <c r="G22" s="51">
        <v>0</v>
      </c>
      <c r="H22" s="52">
        <v>0</v>
      </c>
      <c r="I22" s="34"/>
      <c r="J22" s="10">
        <v>10</v>
      </c>
      <c r="K22" s="56">
        <v>0</v>
      </c>
      <c r="L22" s="48">
        <v>0</v>
      </c>
      <c r="M22" s="48">
        <v>0</v>
      </c>
      <c r="N22" s="48">
        <v>0</v>
      </c>
      <c r="O22" s="48">
        <v>0</v>
      </c>
      <c r="P22" s="48">
        <v>1</v>
      </c>
      <c r="Q22" s="48">
        <v>0</v>
      </c>
      <c r="R22" s="48">
        <v>0</v>
      </c>
      <c r="S22" s="48">
        <v>0</v>
      </c>
      <c r="T22" s="48">
        <v>0</v>
      </c>
      <c r="U22" s="49">
        <v>0</v>
      </c>
      <c r="V22" s="34"/>
      <c r="W22" s="34"/>
    </row>
    <row r="23" spans="1:23" x14ac:dyDescent="0.35">
      <c r="A23" s="34"/>
      <c r="B23" s="30">
        <v>4</v>
      </c>
      <c r="C23" s="50">
        <v>78</v>
      </c>
      <c r="D23" s="51">
        <v>0</v>
      </c>
      <c r="E23" s="51">
        <v>0</v>
      </c>
      <c r="F23" s="51">
        <v>2</v>
      </c>
      <c r="G23" s="51">
        <v>0</v>
      </c>
      <c r="H23" s="52">
        <v>0</v>
      </c>
      <c r="I23" s="34"/>
      <c r="J23" s="15">
        <v>11</v>
      </c>
      <c r="K23" s="57">
        <v>1</v>
      </c>
      <c r="L23" s="51">
        <v>0</v>
      </c>
      <c r="M23" s="51">
        <v>0</v>
      </c>
      <c r="N23" s="51">
        <v>0</v>
      </c>
      <c r="O23" s="51">
        <v>0</v>
      </c>
      <c r="P23" s="51">
        <v>0</v>
      </c>
      <c r="Q23" s="51">
        <v>0</v>
      </c>
      <c r="R23" s="51">
        <v>0</v>
      </c>
      <c r="S23" s="51">
        <v>0</v>
      </c>
      <c r="T23" s="51">
        <v>0</v>
      </c>
      <c r="U23" s="52">
        <v>0</v>
      </c>
      <c r="V23" s="34"/>
      <c r="W23" s="34"/>
    </row>
    <row r="24" spans="1:23" x14ac:dyDescent="0.35">
      <c r="A24" s="34"/>
      <c r="B24" s="30">
        <v>5</v>
      </c>
      <c r="C24" s="50">
        <v>72.5</v>
      </c>
      <c r="D24" s="51">
        <v>0</v>
      </c>
      <c r="E24" s="51">
        <v>0</v>
      </c>
      <c r="F24" s="51">
        <v>7.5</v>
      </c>
      <c r="G24" s="51">
        <v>0</v>
      </c>
      <c r="H24" s="52">
        <v>0</v>
      </c>
      <c r="I24" s="34"/>
      <c r="J24" s="15">
        <v>12</v>
      </c>
      <c r="K24" s="57">
        <v>0</v>
      </c>
      <c r="L24" s="51">
        <v>0</v>
      </c>
      <c r="M24" s="51">
        <v>0</v>
      </c>
      <c r="N24" s="51">
        <v>1</v>
      </c>
      <c r="O24" s="51">
        <v>0</v>
      </c>
      <c r="P24" s="51">
        <v>0</v>
      </c>
      <c r="Q24" s="51">
        <v>0</v>
      </c>
      <c r="R24" s="51">
        <v>0</v>
      </c>
      <c r="S24" s="51">
        <v>0</v>
      </c>
      <c r="T24" s="51">
        <v>0</v>
      </c>
      <c r="U24" s="52">
        <v>0</v>
      </c>
      <c r="V24" s="34"/>
      <c r="W24" s="34"/>
    </row>
    <row r="25" spans="1:23" x14ac:dyDescent="0.35">
      <c r="A25" s="34"/>
      <c r="B25" s="30">
        <v>6</v>
      </c>
      <c r="C25" s="50">
        <v>77.5</v>
      </c>
      <c r="D25" s="51">
        <v>0</v>
      </c>
      <c r="E25" s="51">
        <v>0</v>
      </c>
      <c r="F25" s="51">
        <v>2.5</v>
      </c>
      <c r="G25" s="51">
        <v>0</v>
      </c>
      <c r="H25" s="52">
        <v>0</v>
      </c>
      <c r="I25" s="34"/>
      <c r="J25" s="15">
        <v>1</v>
      </c>
      <c r="K25" s="57">
        <v>0</v>
      </c>
      <c r="L25" s="51">
        <v>0</v>
      </c>
      <c r="M25" s="51">
        <v>0</v>
      </c>
      <c r="N25" s="51">
        <v>0</v>
      </c>
      <c r="O25" s="51">
        <v>0</v>
      </c>
      <c r="P25" s="51">
        <v>0</v>
      </c>
      <c r="Q25" s="51">
        <v>0</v>
      </c>
      <c r="R25" s="51">
        <v>0</v>
      </c>
      <c r="S25" s="51">
        <v>0</v>
      </c>
      <c r="T25" s="51">
        <v>0</v>
      </c>
      <c r="U25" s="52">
        <v>0</v>
      </c>
      <c r="V25" s="34"/>
      <c r="W25" s="34"/>
    </row>
    <row r="26" spans="1:23" x14ac:dyDescent="0.35">
      <c r="A26" s="34"/>
      <c r="B26" s="30">
        <v>7</v>
      </c>
      <c r="C26" s="50">
        <v>71.5</v>
      </c>
      <c r="D26" s="51">
        <v>0</v>
      </c>
      <c r="E26" s="51">
        <v>3</v>
      </c>
      <c r="F26" s="51">
        <v>5.5</v>
      </c>
      <c r="G26" s="51">
        <v>0</v>
      </c>
      <c r="H26" s="52">
        <v>0</v>
      </c>
      <c r="I26" s="34"/>
      <c r="J26" s="15">
        <v>2</v>
      </c>
      <c r="K26" s="57">
        <v>0</v>
      </c>
      <c r="L26" s="51">
        <v>1</v>
      </c>
      <c r="M26" s="51">
        <v>0</v>
      </c>
      <c r="N26" s="51">
        <v>0</v>
      </c>
      <c r="O26" s="51">
        <v>0</v>
      </c>
      <c r="P26" s="51">
        <v>0</v>
      </c>
      <c r="Q26" s="51">
        <v>0</v>
      </c>
      <c r="R26" s="51">
        <v>0</v>
      </c>
      <c r="S26" s="51">
        <v>0</v>
      </c>
      <c r="T26" s="51">
        <v>0</v>
      </c>
      <c r="U26" s="52">
        <v>0</v>
      </c>
      <c r="V26" s="34"/>
      <c r="W26" s="34"/>
    </row>
    <row r="27" spans="1:23" x14ac:dyDescent="0.35">
      <c r="A27" s="34"/>
      <c r="B27" s="30">
        <v>8</v>
      </c>
      <c r="C27" s="50">
        <v>64</v>
      </c>
      <c r="D27" s="51">
        <v>0</v>
      </c>
      <c r="E27" s="51">
        <v>16</v>
      </c>
      <c r="F27" s="51">
        <v>0</v>
      </c>
      <c r="G27" s="51">
        <v>0</v>
      </c>
      <c r="H27" s="52">
        <v>0</v>
      </c>
      <c r="I27" s="34"/>
      <c r="J27" s="15">
        <v>3</v>
      </c>
      <c r="K27" s="57">
        <v>0</v>
      </c>
      <c r="L27" s="51">
        <v>0</v>
      </c>
      <c r="M27" s="51">
        <v>0</v>
      </c>
      <c r="N27" s="51">
        <v>0</v>
      </c>
      <c r="O27" s="51">
        <v>0</v>
      </c>
      <c r="P27" s="51">
        <v>0</v>
      </c>
      <c r="Q27" s="51">
        <v>0</v>
      </c>
      <c r="R27" s="51">
        <v>0</v>
      </c>
      <c r="S27" s="51">
        <v>0</v>
      </c>
      <c r="T27" s="51">
        <v>0</v>
      </c>
      <c r="U27" s="52">
        <v>0</v>
      </c>
      <c r="V27" s="34"/>
      <c r="W27" s="34"/>
    </row>
    <row r="28" spans="1:23" x14ac:dyDescent="0.35">
      <c r="A28" s="34"/>
      <c r="B28" s="30">
        <v>9</v>
      </c>
      <c r="C28" s="50">
        <v>62.5</v>
      </c>
      <c r="D28" s="51">
        <v>0</v>
      </c>
      <c r="E28" s="51">
        <v>17.5</v>
      </c>
      <c r="F28" s="51">
        <v>0</v>
      </c>
      <c r="G28" s="51">
        <v>0</v>
      </c>
      <c r="H28" s="52">
        <v>0</v>
      </c>
      <c r="I28" s="34"/>
      <c r="J28" s="15">
        <v>4</v>
      </c>
      <c r="K28" s="57">
        <v>0</v>
      </c>
      <c r="L28" s="51">
        <v>0</v>
      </c>
      <c r="M28" s="51">
        <v>0</v>
      </c>
      <c r="N28" s="51">
        <v>0</v>
      </c>
      <c r="O28" s="51">
        <v>0</v>
      </c>
      <c r="P28" s="51">
        <v>0</v>
      </c>
      <c r="Q28" s="51">
        <v>0</v>
      </c>
      <c r="R28" s="51">
        <v>0</v>
      </c>
      <c r="S28" s="51">
        <v>0</v>
      </c>
      <c r="T28" s="51">
        <v>0</v>
      </c>
      <c r="U28" s="52">
        <v>0</v>
      </c>
      <c r="V28" s="34"/>
      <c r="W28" s="34"/>
    </row>
    <row r="29" spans="1:23" x14ac:dyDescent="0.35">
      <c r="A29" s="34"/>
      <c r="B29" s="30">
        <v>10</v>
      </c>
      <c r="C29" s="50">
        <v>64</v>
      </c>
      <c r="D29" s="51">
        <v>0</v>
      </c>
      <c r="E29" s="51">
        <v>0</v>
      </c>
      <c r="F29" s="51">
        <v>8</v>
      </c>
      <c r="G29" s="51">
        <v>8</v>
      </c>
      <c r="H29" s="52">
        <v>0</v>
      </c>
      <c r="I29" s="34"/>
      <c r="J29" s="15">
        <v>5</v>
      </c>
      <c r="K29" s="57">
        <v>0</v>
      </c>
      <c r="L29" s="51">
        <v>1</v>
      </c>
      <c r="M29" s="51">
        <v>0</v>
      </c>
      <c r="N29" s="51">
        <v>0</v>
      </c>
      <c r="O29" s="51">
        <v>0</v>
      </c>
      <c r="P29" s="51">
        <v>0</v>
      </c>
      <c r="Q29" s="51">
        <v>0</v>
      </c>
      <c r="R29" s="51">
        <v>0</v>
      </c>
      <c r="S29" s="51">
        <v>0</v>
      </c>
      <c r="T29" s="51">
        <v>0</v>
      </c>
      <c r="U29" s="52">
        <v>0</v>
      </c>
      <c r="V29" s="34"/>
      <c r="W29" s="34"/>
    </row>
    <row r="30" spans="1:23" x14ac:dyDescent="0.35">
      <c r="A30" s="34"/>
      <c r="B30" s="30">
        <v>11</v>
      </c>
      <c r="C30" s="50">
        <v>40</v>
      </c>
      <c r="D30" s="51">
        <v>0</v>
      </c>
      <c r="E30" s="51">
        <v>40</v>
      </c>
      <c r="F30" s="51">
        <v>0</v>
      </c>
      <c r="G30" s="51">
        <v>0</v>
      </c>
      <c r="H30" s="52">
        <v>0</v>
      </c>
      <c r="I30" s="34"/>
      <c r="J30" s="15">
        <v>6</v>
      </c>
      <c r="K30" s="57">
        <v>0</v>
      </c>
      <c r="L30" s="51">
        <v>1</v>
      </c>
      <c r="M30" s="51">
        <v>0</v>
      </c>
      <c r="N30" s="51">
        <v>0</v>
      </c>
      <c r="O30" s="51">
        <v>0</v>
      </c>
      <c r="P30" s="51">
        <v>0</v>
      </c>
      <c r="Q30" s="51">
        <v>0</v>
      </c>
      <c r="R30" s="51">
        <v>0</v>
      </c>
      <c r="S30" s="51">
        <v>0</v>
      </c>
      <c r="T30" s="51">
        <v>0</v>
      </c>
      <c r="U30" s="52">
        <v>0</v>
      </c>
      <c r="V30" s="34"/>
      <c r="W30" s="34"/>
    </row>
    <row r="31" spans="1:23" x14ac:dyDescent="0.35">
      <c r="A31" s="34"/>
      <c r="B31" s="30">
        <v>12</v>
      </c>
      <c r="C31" s="50">
        <v>51.5</v>
      </c>
      <c r="D31" s="51">
        <v>0</v>
      </c>
      <c r="E31" s="51">
        <v>11.5</v>
      </c>
      <c r="F31" s="51">
        <v>9</v>
      </c>
      <c r="G31" s="51">
        <v>8</v>
      </c>
      <c r="H31" s="52">
        <v>0</v>
      </c>
      <c r="I31" s="34"/>
      <c r="J31" s="15">
        <v>7</v>
      </c>
      <c r="K31" s="57">
        <v>0</v>
      </c>
      <c r="L31" s="51">
        <v>1</v>
      </c>
      <c r="M31" s="51">
        <v>0</v>
      </c>
      <c r="N31" s="51">
        <v>0</v>
      </c>
      <c r="O31" s="51">
        <v>0</v>
      </c>
      <c r="P31" s="51">
        <v>0</v>
      </c>
      <c r="Q31" s="51">
        <v>0</v>
      </c>
      <c r="R31" s="51">
        <v>0</v>
      </c>
      <c r="S31" s="51">
        <v>0</v>
      </c>
      <c r="T31" s="51">
        <v>0</v>
      </c>
      <c r="U31" s="52">
        <v>0</v>
      </c>
      <c r="V31" s="34"/>
      <c r="W31" s="34"/>
    </row>
    <row r="32" spans="1:23" x14ac:dyDescent="0.35">
      <c r="A32" s="34"/>
      <c r="B32" s="30">
        <v>13</v>
      </c>
      <c r="C32" s="50">
        <v>64</v>
      </c>
      <c r="D32" s="51">
        <v>4</v>
      </c>
      <c r="E32" s="51">
        <v>0</v>
      </c>
      <c r="F32" s="51">
        <v>8</v>
      </c>
      <c r="G32" s="51">
        <v>8</v>
      </c>
      <c r="H32" s="52">
        <v>0</v>
      </c>
      <c r="I32" s="34"/>
      <c r="J32" s="15">
        <v>8</v>
      </c>
      <c r="K32" s="57"/>
      <c r="L32" s="51"/>
      <c r="M32" s="51"/>
      <c r="N32" s="51"/>
      <c r="O32" s="51"/>
      <c r="P32" s="51"/>
      <c r="Q32" s="51"/>
      <c r="R32" s="51"/>
      <c r="S32" s="51"/>
      <c r="T32" s="51"/>
      <c r="U32" s="52"/>
      <c r="V32" s="34"/>
      <c r="W32" s="34"/>
    </row>
    <row r="33" spans="1:23" ht="15" thickBot="1" x14ac:dyDescent="0.4">
      <c r="A33" s="34"/>
      <c r="B33" s="30">
        <v>14</v>
      </c>
      <c r="C33" s="50">
        <v>80</v>
      </c>
      <c r="D33" s="51">
        <v>2.25</v>
      </c>
      <c r="E33" s="51">
        <v>0</v>
      </c>
      <c r="F33" s="51">
        <v>0</v>
      </c>
      <c r="G33" s="51">
        <v>0</v>
      </c>
      <c r="H33" s="52">
        <v>0</v>
      </c>
      <c r="I33" s="34"/>
      <c r="J33" s="44">
        <v>9</v>
      </c>
      <c r="K33" s="58"/>
      <c r="L33" s="54"/>
      <c r="M33" s="54"/>
      <c r="N33" s="54"/>
      <c r="O33" s="54"/>
      <c r="P33" s="54"/>
      <c r="Q33" s="54"/>
      <c r="R33" s="54"/>
      <c r="S33" s="54"/>
      <c r="T33" s="54"/>
      <c r="U33" s="55"/>
      <c r="V33" s="34"/>
      <c r="W33" s="34"/>
    </row>
    <row r="34" spans="1:23" ht="17" thickTop="1" thickBot="1" x14ac:dyDescent="0.4">
      <c r="A34" s="34"/>
      <c r="B34" s="30">
        <v>15</v>
      </c>
      <c r="C34" s="50">
        <v>46.5</v>
      </c>
      <c r="D34" s="51">
        <v>0</v>
      </c>
      <c r="E34" s="51">
        <v>33.5</v>
      </c>
      <c r="F34" s="51">
        <v>0</v>
      </c>
      <c r="G34" s="51">
        <v>0</v>
      </c>
      <c r="H34" s="52">
        <v>0</v>
      </c>
      <c r="I34" s="34"/>
      <c r="J34" s="32" t="s">
        <v>23</v>
      </c>
      <c r="K34" s="33">
        <f t="shared" ref="K34:U34" si="1">SUM(K22:K33)</f>
        <v>1</v>
      </c>
      <c r="L34" s="33">
        <f t="shared" si="1"/>
        <v>4</v>
      </c>
      <c r="M34" s="33">
        <f t="shared" si="1"/>
        <v>0</v>
      </c>
      <c r="N34" s="33">
        <f t="shared" si="1"/>
        <v>1</v>
      </c>
      <c r="O34" s="33">
        <f t="shared" si="1"/>
        <v>0</v>
      </c>
      <c r="P34" s="33">
        <f t="shared" si="1"/>
        <v>1</v>
      </c>
      <c r="Q34" s="33">
        <f t="shared" si="1"/>
        <v>0</v>
      </c>
      <c r="R34" s="33">
        <f t="shared" si="1"/>
        <v>0</v>
      </c>
      <c r="S34" s="33">
        <f t="shared" si="1"/>
        <v>0</v>
      </c>
      <c r="T34" s="33">
        <f t="shared" si="1"/>
        <v>0</v>
      </c>
      <c r="U34" s="21">
        <f t="shared" si="1"/>
        <v>0</v>
      </c>
      <c r="V34" s="34"/>
      <c r="W34" s="34"/>
    </row>
    <row r="35" spans="1:23" ht="15.5" thickTop="1" thickBot="1" x14ac:dyDescent="0.4">
      <c r="A35" s="34"/>
      <c r="B35" s="30">
        <v>16</v>
      </c>
      <c r="C35" s="50"/>
      <c r="D35" s="51"/>
      <c r="E35" s="51"/>
      <c r="F35" s="51"/>
      <c r="G35" s="51"/>
      <c r="H35" s="52"/>
      <c r="I35" s="34"/>
      <c r="J35" s="14" t="s">
        <v>27</v>
      </c>
      <c r="K35" s="21" t="s">
        <v>29</v>
      </c>
      <c r="L35" s="21" t="s">
        <v>30</v>
      </c>
      <c r="M35" s="21" t="s">
        <v>58</v>
      </c>
      <c r="N35" s="21" t="s">
        <v>59</v>
      </c>
      <c r="O35" s="21" t="s">
        <v>60</v>
      </c>
      <c r="P35" s="21" t="s">
        <v>38</v>
      </c>
      <c r="Q35" s="21" t="s">
        <v>39</v>
      </c>
      <c r="R35" s="21" t="s">
        <v>62</v>
      </c>
      <c r="S35" s="21" t="s">
        <v>63</v>
      </c>
      <c r="T35" s="21" t="s">
        <v>64</v>
      </c>
      <c r="U35" s="21" t="s">
        <v>65</v>
      </c>
      <c r="V35" s="34"/>
      <c r="W35" s="34"/>
    </row>
    <row r="36" spans="1:23" ht="15" thickTop="1" x14ac:dyDescent="0.35">
      <c r="A36" s="34"/>
      <c r="B36" s="30">
        <v>17</v>
      </c>
      <c r="C36" s="50"/>
      <c r="D36" s="51"/>
      <c r="E36" s="51"/>
      <c r="F36" s="51"/>
      <c r="G36" s="51"/>
      <c r="H36" s="52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</row>
    <row r="37" spans="1:23" x14ac:dyDescent="0.35">
      <c r="A37" s="34"/>
      <c r="B37" s="30">
        <v>18</v>
      </c>
      <c r="C37" s="50"/>
      <c r="D37" s="51"/>
      <c r="E37" s="51"/>
      <c r="F37" s="51"/>
      <c r="G37" s="51"/>
      <c r="H37" s="52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</row>
    <row r="38" spans="1:23" x14ac:dyDescent="0.35">
      <c r="A38" s="34"/>
      <c r="B38" s="30">
        <v>19</v>
      </c>
      <c r="C38" s="50"/>
      <c r="D38" s="51"/>
      <c r="E38" s="51"/>
      <c r="F38" s="51"/>
      <c r="G38" s="51"/>
      <c r="H38" s="52"/>
      <c r="I38" s="34"/>
      <c r="J38" s="152" t="s">
        <v>57</v>
      </c>
      <c r="K38" s="152"/>
      <c r="L38" s="152"/>
      <c r="M38" s="152"/>
      <c r="N38" s="152"/>
      <c r="O38" s="152"/>
      <c r="P38" s="34"/>
      <c r="Q38" s="34"/>
      <c r="R38" s="34"/>
      <c r="S38" s="34"/>
      <c r="T38" s="34"/>
      <c r="U38" s="34"/>
      <c r="V38" s="34"/>
      <c r="W38" s="34"/>
    </row>
    <row r="39" spans="1:23" x14ac:dyDescent="0.35">
      <c r="A39" s="34"/>
      <c r="B39" s="30">
        <v>20</v>
      </c>
      <c r="C39" s="50"/>
      <c r="D39" s="51"/>
      <c r="E39" s="51"/>
      <c r="F39" s="51"/>
      <c r="G39" s="51"/>
      <c r="H39" s="52"/>
      <c r="I39" s="34"/>
      <c r="J39" s="152"/>
      <c r="K39" s="152"/>
      <c r="L39" s="152"/>
      <c r="M39" s="152"/>
      <c r="N39" s="152"/>
      <c r="O39" s="152"/>
      <c r="P39" s="34"/>
      <c r="Q39" s="34"/>
      <c r="R39" s="34"/>
      <c r="S39" s="34"/>
      <c r="T39" s="34"/>
      <c r="U39" s="34"/>
      <c r="V39" s="34"/>
      <c r="W39" s="34"/>
    </row>
    <row r="40" spans="1:23" ht="15" thickBot="1" x14ac:dyDescent="0.4">
      <c r="A40" s="34"/>
      <c r="B40" s="30">
        <v>21</v>
      </c>
      <c r="C40" s="50"/>
      <c r="D40" s="51"/>
      <c r="E40" s="51"/>
      <c r="F40" s="51"/>
      <c r="G40" s="51"/>
      <c r="H40" s="52"/>
      <c r="I40" s="34"/>
      <c r="J40" s="35"/>
      <c r="K40" s="35"/>
      <c r="L40" s="35"/>
      <c r="M40" s="35"/>
      <c r="N40" s="35"/>
      <c r="O40" s="35"/>
      <c r="P40" s="34"/>
      <c r="Q40" s="34"/>
      <c r="R40" s="34"/>
      <c r="S40" s="34"/>
      <c r="T40" s="34"/>
      <c r="U40" s="34"/>
      <c r="V40" s="34"/>
      <c r="W40" s="34"/>
    </row>
    <row r="41" spans="1:23" ht="15.5" thickTop="1" thickBot="1" x14ac:dyDescent="0.4">
      <c r="A41" s="34"/>
      <c r="B41" s="30">
        <v>22</v>
      </c>
      <c r="C41" s="50"/>
      <c r="D41" s="51"/>
      <c r="E41" s="51"/>
      <c r="F41" s="51"/>
      <c r="G41" s="51"/>
      <c r="H41" s="52"/>
      <c r="I41" s="34"/>
      <c r="J41" s="34"/>
      <c r="K41" s="36" t="s">
        <v>0</v>
      </c>
      <c r="L41" s="36" t="s">
        <v>1</v>
      </c>
      <c r="M41" s="36" t="s">
        <v>2</v>
      </c>
      <c r="N41" s="36" t="s">
        <v>3</v>
      </c>
      <c r="O41" s="34"/>
      <c r="P41" s="34"/>
      <c r="Q41" s="34"/>
      <c r="R41" s="34"/>
      <c r="S41" s="34"/>
      <c r="T41" s="34"/>
      <c r="U41" s="34"/>
      <c r="V41" s="34"/>
      <c r="W41" s="34"/>
    </row>
    <row r="42" spans="1:23" ht="15.5" thickTop="1" thickBot="1" x14ac:dyDescent="0.4">
      <c r="A42" s="34"/>
      <c r="B42" s="30">
        <v>23</v>
      </c>
      <c r="C42" s="50"/>
      <c r="D42" s="51"/>
      <c r="E42" s="51"/>
      <c r="F42" s="51"/>
      <c r="G42" s="51"/>
      <c r="H42" s="52"/>
      <c r="I42" s="34"/>
      <c r="J42" s="34"/>
      <c r="K42" s="21" t="str">
        <f>IF(OR('6'!C3&gt;SetUp!C7,'6'!C4&lt;SetUp!C8),"Unacceptable",IF(AND(AND('6'!C3&lt;=SetUp!D7,'6'!C4&gt;=SetUp!D8),OR('6'!C5&gt;=SetUp!C12,'6'!C6&gt;=SetUp!C13,'6'!C7&gt;=SetUp!C14)), "Exceptional", "Fully Successful"))</f>
        <v>Exceptional</v>
      </c>
      <c r="L42" s="21" t="str">
        <f>IF(OR('6'!D3&lt;SetUp!E7,'6'!D4&gt;SetUp!E8,'6'!D5&lt;SetUp!E9),"Unacceptable", IF(AND(AND('6'!D3&gt;=SetUp!F7,'6'!D4&lt;=SetUp!F8,'6'!D5&gt;=SetUp!F9),OR('6'!D6&gt;=SetUp!E13,'6'!D7&gt;=SetUp!E14)), "Exceptional", "Fully Successful"))</f>
        <v>Fully Successful</v>
      </c>
      <c r="M42" s="21" t="str">
        <f>IF(OR('6'!E3&lt;SetUp!G7,'6'!E4&gt;SetUp!G8),"Unacceptable",IF(AND(AND('6'!E3&gt;=SetUp!H7, '6'!E4&lt;=SetUp!H8),OR('6'!E5&gt;=SetUp!G12, '6'!E6&gt;=SetUp!G13)), "Exceptional", "Fully Successful"))</f>
        <v>Exceptional</v>
      </c>
      <c r="N42" s="21" t="str">
        <f>IF(OR(F3&lt;SetUp!I7,'6'!F4&gt;SetUp!I11),"Unacceptable",IF(AND(AND(F3&gt;=SetUp!J7,'6'!F4&lt;=SetUp!I11),OR('6'!F5&gt;=SetUp!I12,'6'!F6&gt;=SetUp!I13,'6'!F7&gt;=SetUp!I14)),"Exceptional","Fully Successful"))</f>
        <v>Fully Successful</v>
      </c>
      <c r="O42" s="34"/>
      <c r="P42" s="34"/>
      <c r="Q42" s="34"/>
      <c r="R42" s="34"/>
      <c r="S42" s="34"/>
      <c r="T42" s="34"/>
      <c r="U42" s="34"/>
      <c r="V42" s="34"/>
      <c r="W42" s="34"/>
    </row>
    <row r="43" spans="1:23" ht="15.5" thickTop="1" thickBot="1" x14ac:dyDescent="0.4">
      <c r="A43" s="34"/>
      <c r="B43" s="30">
        <v>24</v>
      </c>
      <c r="C43" s="50"/>
      <c r="D43" s="51"/>
      <c r="E43" s="51"/>
      <c r="F43" s="51"/>
      <c r="G43" s="51"/>
      <c r="H43" s="52"/>
      <c r="I43" s="34"/>
      <c r="J43" s="34"/>
      <c r="K43" s="21">
        <f>IF(K42="Exceptional", 10, IF(K42="Fully Successful", 1, 0))</f>
        <v>10</v>
      </c>
      <c r="L43" s="21">
        <f>IF(L42="Exceptional", 10, IF(L42="Fully Successful", 1, 0))</f>
        <v>1</v>
      </c>
      <c r="M43" s="21">
        <f>IF(M42="Exceptional", 10, IF(M42="Fully Successful", 1, 0))</f>
        <v>10</v>
      </c>
      <c r="N43" s="21">
        <f>IF(N42="Exceptional", 10, IF(N42="Fully Successful", 1, 0))</f>
        <v>1</v>
      </c>
      <c r="O43" s="34"/>
      <c r="P43" s="34"/>
      <c r="Q43" s="34"/>
      <c r="R43" s="34"/>
      <c r="S43" s="34"/>
      <c r="T43" s="34"/>
      <c r="U43" s="34"/>
      <c r="V43" s="34"/>
      <c r="W43" s="34"/>
    </row>
    <row r="44" spans="1:23" ht="15.75" customHeight="1" thickTop="1" thickBot="1" x14ac:dyDescent="0.4">
      <c r="A44" s="34"/>
      <c r="B44" s="30">
        <v>25</v>
      </c>
      <c r="C44" s="50"/>
      <c r="D44" s="51"/>
      <c r="E44" s="51"/>
      <c r="F44" s="51"/>
      <c r="G44" s="51"/>
      <c r="H44" s="52"/>
      <c r="I44" s="34"/>
      <c r="J44" s="34"/>
      <c r="K44" s="34"/>
      <c r="L44" s="21">
        <f>SUM(K43:M43)</f>
        <v>21</v>
      </c>
      <c r="M44" s="21">
        <f>N43</f>
        <v>1</v>
      </c>
      <c r="N44" s="21" t="str">
        <f>IF(L44+M44=40,"OutStanding",IF(AND(L44&gt;=30,M44&gt;=1),"Excellent",IF(AND(K43&gt;=1,L43&gt;=1,M43&gt;=1,N43&gt;=1),"Fully Successful",IF(AND(K43&gt;=1,L43&gt;=1,M43&gt;=1,N43&lt;1),"Minimally Successful","Unacceptable"))))</f>
        <v>Fully Successful</v>
      </c>
      <c r="O44" s="34"/>
      <c r="P44" s="34"/>
      <c r="Q44" s="34"/>
      <c r="R44" s="34"/>
      <c r="S44" s="34"/>
      <c r="T44" s="34"/>
      <c r="U44" s="34"/>
      <c r="V44" s="34"/>
      <c r="W44" s="34"/>
    </row>
    <row r="45" spans="1:23" ht="15.5" thickTop="1" thickBot="1" x14ac:dyDescent="0.4">
      <c r="A45" s="34"/>
      <c r="B45" s="37">
        <v>26</v>
      </c>
      <c r="C45" s="53"/>
      <c r="D45" s="54"/>
      <c r="E45" s="54"/>
      <c r="F45" s="54"/>
      <c r="G45" s="54"/>
      <c r="H45" s="55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</row>
    <row r="46" spans="1:23" ht="15.5" thickTop="1" thickBot="1" x14ac:dyDescent="0.4">
      <c r="A46" s="34"/>
      <c r="B46" s="14" t="s">
        <v>23</v>
      </c>
      <c r="C46" s="21">
        <f t="shared" ref="C46:H46" si="2">SUM(C13:C45)</f>
        <v>1422.75</v>
      </c>
      <c r="D46" s="21">
        <f t="shared" si="2"/>
        <v>9</v>
      </c>
      <c r="E46" s="21">
        <f t="shared" si="2"/>
        <v>163.5</v>
      </c>
      <c r="F46" s="21">
        <f t="shared" si="2"/>
        <v>85.75</v>
      </c>
      <c r="G46" s="21">
        <f t="shared" si="2"/>
        <v>85</v>
      </c>
      <c r="H46" s="21">
        <f t="shared" si="2"/>
        <v>3</v>
      </c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</row>
    <row r="47" spans="1:23" ht="15.5" thickTop="1" thickBot="1" x14ac:dyDescent="0.4">
      <c r="A47" s="34"/>
      <c r="B47" s="14" t="s">
        <v>26</v>
      </c>
      <c r="C47" s="21">
        <f>C46+(D46+E46+F46+G46+H46)</f>
        <v>1769</v>
      </c>
      <c r="D47" s="153" t="s">
        <v>66</v>
      </c>
      <c r="E47" s="154"/>
      <c r="F47" s="155">
        <f>C46+D46</f>
        <v>1431.75</v>
      </c>
      <c r="G47" s="156"/>
      <c r="H47" s="157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</row>
    <row r="48" spans="1:23" ht="15" thickTop="1" x14ac:dyDescent="0.35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</row>
    <row r="49" spans="1:23" x14ac:dyDescent="0.35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</row>
    <row r="50" spans="1:23" x14ac:dyDescent="0.35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</row>
    <row r="51" spans="1:23" x14ac:dyDescent="0.35">
      <c r="A51" s="34"/>
      <c r="B51" s="34"/>
      <c r="C51" s="34"/>
      <c r="D51" s="34"/>
      <c r="E51" s="34"/>
      <c r="F51" s="34"/>
      <c r="G51" s="34"/>
      <c r="H51" s="34"/>
      <c r="I51" s="34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4"/>
      <c r="W51" s="34"/>
    </row>
    <row r="52" spans="1:23" x14ac:dyDescent="0.35">
      <c r="A52" s="34"/>
      <c r="B52" s="34"/>
      <c r="C52" s="34"/>
      <c r="D52" s="34"/>
      <c r="E52" s="34"/>
      <c r="F52" s="34"/>
      <c r="G52" s="34"/>
      <c r="H52" s="34"/>
      <c r="I52" s="34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4"/>
      <c r="W52" s="34"/>
    </row>
    <row r="53" spans="1:23" x14ac:dyDescent="0.35">
      <c r="A53" s="34"/>
      <c r="B53" s="34"/>
      <c r="C53" s="34"/>
      <c r="D53" s="34"/>
      <c r="E53" s="34"/>
      <c r="F53" s="34"/>
      <c r="G53" s="34"/>
      <c r="H53" s="34"/>
      <c r="I53" s="34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4"/>
      <c r="W53" s="34"/>
    </row>
    <row r="54" spans="1:23" x14ac:dyDescent="0.35"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</row>
    <row r="55" spans="1:23" x14ac:dyDescent="0.35"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</row>
    <row r="56" spans="1:23" x14ac:dyDescent="0.35"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</row>
    <row r="57" spans="1:23" x14ac:dyDescent="0.35"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</row>
    <row r="58" spans="1:23" x14ac:dyDescent="0.35"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</row>
    <row r="59" spans="1:23" x14ac:dyDescent="0.35"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</row>
    <row r="60" spans="1:23" x14ac:dyDescent="0.35"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</row>
  </sheetData>
  <sheetProtection sheet="1" selectLockedCells="1"/>
  <mergeCells count="18">
    <mergeCell ref="H2:I2"/>
    <mergeCell ref="B9:B10"/>
    <mergeCell ref="C9:F10"/>
    <mergeCell ref="J19:J21"/>
    <mergeCell ref="K19:K21"/>
    <mergeCell ref="S19:S21"/>
    <mergeCell ref="T19:T21"/>
    <mergeCell ref="U19:U21"/>
    <mergeCell ref="J38:O39"/>
    <mergeCell ref="D47:E47"/>
    <mergeCell ref="F47:H47"/>
    <mergeCell ref="M19:M21"/>
    <mergeCell ref="N19:N21"/>
    <mergeCell ref="O19:O21"/>
    <mergeCell ref="P19:P21"/>
    <mergeCell ref="Q19:Q21"/>
    <mergeCell ref="R19:R21"/>
    <mergeCell ref="L19:L21"/>
  </mergeCells>
  <conditionalFormatting sqref="C7">
    <cfRule type="cellIs" dxfId="184" priority="13" operator="greaterThanOrEqual">
      <formula>"Setup!C14"</formula>
    </cfRule>
  </conditionalFormatting>
  <conditionalFormatting sqref="C8:F8">
    <cfRule type="containsText" dxfId="182" priority="29" operator="containsText" text="Exceptional">
      <formula>NOT(ISERROR(SEARCH("Exceptional",C8)))</formula>
    </cfRule>
  </conditionalFormatting>
  <conditionalFormatting sqref="C8:F10">
    <cfRule type="containsText" dxfId="181" priority="24" operator="containsText" text="Unacceptable">
      <formula>NOT(ISERROR(SEARCH("Unacceptable",C8)))</formula>
    </cfRule>
    <cfRule type="containsText" dxfId="180" priority="26" operator="containsText" text="Fully Successful">
      <formula>NOT(ISERROR(SEARCH("Fully Successful",C8)))</formula>
    </cfRule>
  </conditionalFormatting>
  <conditionalFormatting sqref="C9:F10">
    <cfRule type="containsText" dxfId="179" priority="27" operator="containsText" text="Excellent">
      <formula>NOT(ISERROR(SEARCH("Excellent",C9)))</formula>
    </cfRule>
    <cfRule type="containsText" dxfId="178" priority="25" operator="containsText" text="Minimally Successful">
      <formula>NOT(ISERROR(SEARCH("Minimally Successful",C9)))</formula>
    </cfRule>
    <cfRule type="containsText" dxfId="177" priority="28" operator="containsText" text="Outstanding">
      <formula>NOT(ISERROR(SEARCH("Outstanding",C9)))</formula>
    </cfRule>
  </conditionalFormatting>
  <conditionalFormatting sqref="E7">
    <cfRule type="cellIs" dxfId="156" priority="50" operator="notEqual">
      <formula>1</formula>
    </cfRule>
  </conditionalFormatting>
  <conditionalFormatting sqref="H3">
    <cfRule type="cellIs" dxfId="144" priority="59" operator="notEqual">
      <formula>1</formula>
    </cfRule>
  </conditionalFormatting>
  <conditionalFormatting sqref="H4">
    <cfRule type="cellIs" dxfId="143" priority="43" operator="notEqual">
      <formula>1</formula>
    </cfRule>
  </conditionalFormatting>
  <conditionalFormatting sqref="H5">
    <cfRule type="cellIs" dxfId="142" priority="58" operator="notEqual">
      <formula>1</formula>
    </cfRule>
  </conditionalFormatting>
  <conditionalFormatting sqref="H6">
    <cfRule type="cellIs" dxfId="141" priority="57" operator="notEqual">
      <formula>1</formula>
    </cfRule>
  </conditionalFormatting>
  <conditionalFormatting sqref="H7">
    <cfRule type="cellIs" dxfId="140" priority="56" operator="notEqual">
      <formula>1</formula>
    </cfRule>
  </conditionalFormatting>
  <conditionalFormatting sqref="H8">
    <cfRule type="cellIs" dxfId="139" priority="55" operator="notEqual">
      <formula>1</formula>
    </cfRule>
  </conditionalFormatting>
  <conditionalFormatting sqref="H9">
    <cfRule type="cellIs" dxfId="138" priority="44" operator="notEqual">
      <formula>1</formula>
    </cfRule>
  </conditionalFormatting>
  <conditionalFormatting sqref="J19">
    <cfRule type="containsText" dxfId="137" priority="3" operator="containsText" text="Exceptional">
      <formula>NOT(ISERROR(SEARCH("Exceptional",J19)))</formula>
    </cfRule>
    <cfRule type="beginsWith" dxfId="136" priority="1" operator="beginsWith" text="Fulfilled">
      <formula>LEFT(J19,LEN("Fulfilled"))="Fulfilled"</formula>
    </cfRule>
    <cfRule type="beginsWith" dxfId="135" priority="4" operator="beginsWith" text="Fully Successful">
      <formula>LEFT(J19,LEN("Fully Successful"))="Fully Successful"</formula>
    </cfRule>
    <cfRule type="containsText" dxfId="134" priority="2" operator="containsText" text="Not Fulfilled">
      <formula>NOT(ISERROR(SEARCH("Not Fulfilled",J19)))</formula>
    </cfRule>
    <cfRule type="beginsWith" dxfId="133" priority="5" operator="beginsWith" text="Not Fully Successful">
      <formula>LEFT(J19,LEN("Not Fully Successful"))="Not Fully Successful"</formula>
    </cfRule>
  </conditionalFormatting>
  <conditionalFormatting sqref="L2 Q2 S2">
    <cfRule type="beginsWith" dxfId="132" priority="10" operator="beginsWith" text="Not Fully Successful">
      <formula>LEFT(L2,LEN("Not Fully Successful"))="Not Fully Successful"</formula>
    </cfRule>
    <cfRule type="containsText" dxfId="131" priority="8" operator="containsText" text="Exceptional">
      <formula>NOT(ISERROR(SEARCH("Exceptional",L2)))</formula>
    </cfRule>
    <cfRule type="containsText" dxfId="130" priority="7" operator="containsText" text="Not Fulfilled">
      <formula>NOT(ISERROR(SEARCH("Not Fulfilled",L2)))</formula>
    </cfRule>
    <cfRule type="beginsWith" dxfId="129" priority="6" operator="beginsWith" text="Fulfilled">
      <formula>LEFT(L2,LEN("Fulfilled"))="Fulfilled"</formula>
    </cfRule>
    <cfRule type="beginsWith" dxfId="128" priority="9" operator="beginsWith" text="Fully Successful">
      <formula>LEFT(L2,LEN("Fully Successful"))="Fully Successful"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79" operator="greaterThan" id="{7EA1722A-5A9D-4E54-AAB2-B25F09F06402}">
            <xm:f>SetUp!C7</xm:f>
            <x14:dxf>
              <font>
                <color auto="1"/>
              </font>
              <fill>
                <patternFill>
                  <bgColor rgb="FFFF0000"/>
                </patternFill>
              </fill>
            </x14:dxf>
          </x14:cfRule>
          <x14:cfRule type="cellIs" priority="78" operator="lessThanOrEqual" id="{079E6969-E869-4DF4-AB8B-9043E95B17A4}">
            <xm:f>SetUp!C7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14:cfRule type="cellIs" priority="77" operator="lessThanOrEqual" id="{867045EA-3B35-4221-B834-DA4401689834}">
            <xm:f>SetUp!D7</xm:f>
            <x14:dxf>
              <font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m:sqref>C3</xm:sqref>
        </x14:conditionalFormatting>
        <x14:conditionalFormatting xmlns:xm="http://schemas.microsoft.com/office/excel/2006/main">
          <x14:cfRule type="cellIs" priority="76" operator="lessThan" id="{1DA069AC-8AB1-40B2-B67E-73D78363CE15}">
            <xm:f>SetUp!C8</xm:f>
            <x14:dxf>
              <font>
                <color auto="1"/>
              </font>
              <fill>
                <patternFill>
                  <bgColor rgb="FFFF0000"/>
                </patternFill>
              </fill>
            </x14:dxf>
          </x14:cfRule>
          <x14:cfRule type="cellIs" priority="75" operator="greaterThanOrEqual" id="{9B684BCE-07FE-4CB0-B44D-D00BD3ED701D}">
            <xm:f>SetUp!C8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14:cfRule type="cellIs" priority="74" stopIfTrue="1" operator="greaterThanOrEqual" id="{11869F6A-AF98-4285-9CFD-61BADBF3210F}">
            <xm:f>SetUp!D8</xm:f>
            <x14:dxf>
              <font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m:sqref>C4</xm:sqref>
        </x14:conditionalFormatting>
        <x14:conditionalFormatting xmlns:xm="http://schemas.microsoft.com/office/excel/2006/main">
          <x14:cfRule type="cellIs" priority="73" operator="lessThan" id="{323654C8-B943-49C9-B5A2-1FCF593AB55F}">
            <xm:f>SetUp!C12</xm:f>
            <x14:dxf>
              <font>
                <color theme="1"/>
              </font>
              <fill>
                <patternFill>
                  <bgColor theme="7" tint="0.79998168889431442"/>
                </patternFill>
              </fill>
            </x14:dxf>
          </x14:cfRule>
          <xm:sqref>C5</xm:sqref>
        </x14:conditionalFormatting>
        <x14:conditionalFormatting xmlns:xm="http://schemas.microsoft.com/office/excel/2006/main">
          <x14:cfRule type="cellIs" priority="39" operator="greaterThanOrEqual" id="{E89AD905-34EC-4D4B-A4A3-8C5115596E06}">
            <xm:f>SetUp!C12</xm:f>
            <x14:dxf>
              <font>
                <color theme="0"/>
              </font>
              <fill>
                <patternFill>
                  <bgColor theme="7" tint="-0.24994659260841701"/>
                </patternFill>
              </fill>
            </x14:dxf>
          </x14:cfRule>
          <xm:sqref>C5:C6</xm:sqref>
        </x14:conditionalFormatting>
        <x14:conditionalFormatting xmlns:xm="http://schemas.microsoft.com/office/excel/2006/main">
          <x14:cfRule type="cellIs" priority="63" operator="lessThan" id="{5E908C55-2BBA-4427-A39C-74931ACCB393}">
            <xm:f>SetUp!C13</xm:f>
            <x14:dxf>
              <fill>
                <patternFill>
                  <bgColor theme="7" tint="0.79998168889431442"/>
                </patternFill>
              </fill>
            </x14:dxf>
          </x14:cfRule>
          <xm:sqref>C6</xm:sqref>
        </x14:conditionalFormatting>
        <x14:conditionalFormatting xmlns:xm="http://schemas.microsoft.com/office/excel/2006/main">
          <x14:cfRule type="cellIs" priority="38" operator="lessThan" id="{C1F0BD69-FC10-4018-9F66-72BCC86ACCF8}">
            <xm:f>SetUp!C14</xm:f>
            <x14:dxf>
              <fill>
                <patternFill>
                  <bgColor theme="7" tint="0.79998168889431442"/>
                </patternFill>
              </fill>
            </x14:dxf>
          </x14:cfRule>
          <xm:sqref>C7</xm:sqref>
        </x14:conditionalFormatting>
        <x14:conditionalFormatting xmlns:xm="http://schemas.microsoft.com/office/excel/2006/main">
          <x14:cfRule type="cellIs" priority="71" operator="greaterThanOrEqual" id="{0C627C23-CE06-4D6D-A87B-127AD80982FF}">
            <xm:f>SetUp!E7</xm:f>
            <x14:dxf>
              <fill>
                <patternFill>
                  <bgColor theme="9" tint="0.79998168889431442"/>
                </patternFill>
              </fill>
            </x14:dxf>
          </x14:cfRule>
          <x14:cfRule type="cellIs" priority="72" operator="lessThan" id="{1A75FAA6-3C0E-468C-84C2-6D3D901D9CC4}">
            <xm:f>SetUp!E7</xm:f>
            <x14:dxf>
              <fill>
                <patternFill>
                  <bgColor rgb="FFFF0000"/>
                </patternFill>
              </fill>
            </x14:dxf>
          </x14:cfRule>
          <x14:cfRule type="cellIs" priority="70" stopIfTrue="1" operator="greaterThanOrEqual" id="{A9E368D6-A5AD-48A5-99AF-34D9F252B10B}">
            <xm:f>SetUp!F7</xm:f>
            <x14:dxf>
              <font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m:sqref>D3 D5</xm:sqref>
        </x14:conditionalFormatting>
        <x14:conditionalFormatting xmlns:xm="http://schemas.microsoft.com/office/excel/2006/main">
          <x14:cfRule type="cellIs" priority="69" operator="lessThanOrEqual" id="{D3815195-9C0D-47EC-A4CD-453998478A88}">
            <xm:f>SetUp!E8</xm:f>
            <x14:dxf>
              <fill>
                <patternFill>
                  <bgColor theme="9" tint="0.79998168889431442"/>
                </patternFill>
              </fill>
            </x14:dxf>
          </x14:cfRule>
          <x14:cfRule type="cellIs" priority="68" stopIfTrue="1" operator="lessThanOrEqual" id="{E6C7F079-15B2-41AF-ACA6-EF5CE2431A1D}">
            <xm:f>SetUp!F8</xm:f>
            <x14:dxf>
              <font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ellIs" priority="67" operator="greaterThan" id="{78872F15-2827-4E6E-9F2B-C8B30352C297}">
            <xm:f>SetUp!E8</xm:f>
            <x14:dxf>
              <fill>
                <patternFill>
                  <bgColor rgb="FFFF0000"/>
                </patternFill>
              </fill>
            </x14:dxf>
          </x14:cfRule>
          <xm:sqref>D4</xm:sqref>
        </x14:conditionalFormatting>
        <x14:conditionalFormatting xmlns:xm="http://schemas.microsoft.com/office/excel/2006/main">
          <x14:cfRule type="cellIs" priority="41" operator="lessThan" id="{7C33815D-1887-42BB-A12D-9F6D48EB45F9}">
            <xm:f>SetUp!E13</xm:f>
            <x14:dxf>
              <fill>
                <patternFill>
                  <bgColor theme="7" tint="0.79998168889431442"/>
                </patternFill>
              </fill>
            </x14:dxf>
          </x14:cfRule>
          <x14:cfRule type="cellIs" priority="42" operator="greaterThanOrEqual" id="{E0EB2FA1-16B9-4B7E-B60F-5602602DDF4E}">
            <xm:f>SetUp!E13</xm:f>
            <x14:dxf>
              <font>
                <color theme="0"/>
              </font>
              <fill>
                <patternFill>
                  <bgColor theme="7" tint="-0.24994659260841701"/>
                </patternFill>
              </fill>
            </x14:dxf>
          </x14:cfRule>
          <xm:sqref>D6</xm:sqref>
        </x14:conditionalFormatting>
        <x14:conditionalFormatting xmlns:xm="http://schemas.microsoft.com/office/excel/2006/main">
          <x14:cfRule type="cellIs" priority="36" operator="greaterThanOrEqual" id="{68573BC4-1E93-4E8A-BB64-096964E1E73F}">
            <xm:f>SetUp!$E$14</xm:f>
            <x14:dxf>
              <font>
                <color theme="0"/>
              </font>
              <fill>
                <patternFill>
                  <bgColor theme="7" tint="-0.24994659260841701"/>
                </patternFill>
              </fill>
            </x14:dxf>
          </x14:cfRule>
          <x14:cfRule type="cellIs" priority="37" operator="lessThan" id="{A140E6A2-7BFD-423A-9DFD-48AE71ABD7B5}">
            <xm:f>SetUp!$E$14</xm:f>
            <x14:dxf>
              <fill>
                <patternFill>
                  <bgColor theme="7" tint="0.79998168889431442"/>
                </patternFill>
              </fill>
            </x14:dxf>
          </x14:cfRule>
          <xm:sqref>D7</xm:sqref>
        </x14:conditionalFormatting>
        <x14:conditionalFormatting xmlns:xm="http://schemas.microsoft.com/office/excel/2006/main">
          <x14:cfRule type="cellIs" priority="60" operator="lessThan" id="{1A014A4C-E59F-4A35-B9FB-34A73874DADE}">
            <xm:f>SetUp!G7</xm:f>
            <x14:dxf>
              <fill>
                <patternFill>
                  <bgColor rgb="FFFF0000"/>
                </patternFill>
              </fill>
            </x14:dxf>
          </x14:cfRule>
          <x14:cfRule type="cellIs" priority="62" operator="greaterThanOrEqual" id="{BD2D6A22-55BE-4F1D-B307-7CF4338A376B}">
            <xm:f>SetUp!G7</xm:f>
            <x14:dxf>
              <fill>
                <patternFill>
                  <bgColor theme="9" tint="0.79998168889431442"/>
                </patternFill>
              </fill>
            </x14:dxf>
          </x14:cfRule>
          <x14:cfRule type="cellIs" priority="61" stopIfTrue="1" operator="greaterThanOrEqual" id="{697A09AA-5910-42DC-872A-939DB658D517}">
            <xm:f>SetUp!H7</xm:f>
            <x14:dxf>
              <font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m:sqref>E3</xm:sqref>
        </x14:conditionalFormatting>
        <x14:conditionalFormatting xmlns:xm="http://schemas.microsoft.com/office/excel/2006/main">
          <x14:cfRule type="cellIs" priority="52" operator="greaterThan" id="{C97E6219-E3C1-47F7-A286-807031CDAE75}">
            <xm:f>SetUp!G8</xm:f>
            <x14:dxf>
              <fill>
                <patternFill>
                  <bgColor rgb="FFFF0000"/>
                </patternFill>
              </fill>
            </x14:dxf>
          </x14:cfRule>
          <x14:cfRule type="cellIs" priority="53" operator="lessThanOrEqual" id="{A79117A5-626C-4AB6-ADF7-5BE90072909E}">
            <xm:f>SetUp!H8</xm:f>
            <x14:dxf>
              <font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ellIs" priority="54" operator="lessThanOrEqual" id="{F52B4655-7874-4AB4-A641-474835F8D43E}">
            <xm:f>SetUp!G8</xm:f>
            <x14:dxf>
              <fill>
                <patternFill>
                  <bgColor theme="9" tint="0.79998168889431442"/>
                </patternFill>
              </fill>
            </x14:dxf>
          </x14:cfRule>
          <xm:sqref>E4</xm:sqref>
        </x14:conditionalFormatting>
        <x14:conditionalFormatting xmlns:xm="http://schemas.microsoft.com/office/excel/2006/main">
          <x14:cfRule type="cellIs" priority="51" operator="lessThan" id="{DDA28195-F0B7-4A19-8C91-DAD67A530E8A}">
            <xm:f>SetUp!G12</xm:f>
            <x14:dxf>
              <fill>
                <patternFill>
                  <bgColor theme="7" tint="0.79998168889431442"/>
                </patternFill>
              </fill>
            </x14:dxf>
          </x14:cfRule>
          <x14:cfRule type="cellIs" priority="40" operator="greaterThanOrEqual" id="{939C74FF-9F12-4D03-B9AC-F00E22A67F16}">
            <xm:f>SetUp!G12</xm:f>
            <x14:dxf>
              <font>
                <color theme="0"/>
              </font>
              <fill>
                <patternFill>
                  <bgColor theme="7" tint="-0.24994659260841701"/>
                </patternFill>
              </fill>
            </x14:dxf>
          </x14:cfRule>
          <xm:sqref>E5</xm:sqref>
        </x14:conditionalFormatting>
        <x14:conditionalFormatting xmlns:xm="http://schemas.microsoft.com/office/excel/2006/main">
          <x14:cfRule type="cellIs" priority="12" operator="lessThan" id="{14EF90BC-61DD-4701-BF63-AAE610B1C7D0}">
            <xm:f>SetUp!$G$13</xm:f>
            <x14:dxf>
              <fill>
                <patternFill>
                  <bgColor theme="7" tint="0.79998168889431442"/>
                </patternFill>
              </fill>
            </x14:dxf>
          </x14:cfRule>
          <x14:cfRule type="cellIs" priority="11" operator="greaterThanOrEqual" id="{0DFC89AF-D5DA-4071-90B7-B6876BC92176}">
            <xm:f>SetUp!$G$13</xm:f>
            <x14:dxf>
              <font>
                <color theme="0"/>
              </font>
              <fill>
                <patternFill>
                  <bgColor theme="7" tint="-0.24994659260841701"/>
                </patternFill>
              </fill>
            </x14:dxf>
          </x14:cfRule>
          <xm:sqref>E6</xm:sqref>
        </x14:conditionalFormatting>
        <x14:conditionalFormatting xmlns:xm="http://schemas.microsoft.com/office/excel/2006/main">
          <x14:cfRule type="cellIs" priority="47" operator="lessThan" id="{3853E289-070F-4F17-BAB1-87E7729B4018}">
            <xm:f>SetUp!I7</xm:f>
            <x14:dxf>
              <fill>
                <patternFill>
                  <bgColor rgb="FFFF0000"/>
                </patternFill>
              </fill>
            </x14:dxf>
          </x14:cfRule>
          <x14:cfRule type="cellIs" priority="48" operator="equal" id="{7B5585B2-C5C1-49A3-B76D-9A90C24BA67E}">
            <xm:f>SetUp!J7</xm:f>
            <x14:dxf>
              <font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ellIs" priority="49" operator="greaterThanOrEqual" id="{8B04E234-3FF4-493E-B574-6ABF55E2DE9D}">
            <xm:f>SetUp!I7</xm:f>
            <x14:dxf>
              <fill>
                <patternFill>
                  <bgColor theme="9" tint="0.79998168889431442"/>
                </patternFill>
              </fill>
            </x14:dxf>
          </x14:cfRule>
          <xm:sqref>F3</xm:sqref>
        </x14:conditionalFormatting>
        <x14:conditionalFormatting xmlns:xm="http://schemas.microsoft.com/office/excel/2006/main">
          <x14:cfRule type="cellIs" priority="45" operator="lessThanOrEqual" id="{8CFE91BE-BB9B-4AB7-BBC7-73C614CAB608}">
            <xm:f>SetUp!I11</xm:f>
            <x14:dxf>
              <font>
                <color theme="0"/>
              </font>
              <fill>
                <patternFill>
                  <bgColor theme="7" tint="-0.24994659260841701"/>
                </patternFill>
              </fill>
            </x14:dxf>
          </x14:cfRule>
          <x14:cfRule type="cellIs" priority="46" operator="greaterThan" id="{7CB635C3-63CE-46A9-A574-A30E0B02845F}">
            <xm:f>SetUp!I11</xm:f>
            <x14:dxf>
              <fill>
                <patternFill>
                  <bgColor theme="7" tint="0.79998168889431442"/>
                </patternFill>
              </fill>
            </x14:dxf>
          </x14:cfRule>
          <xm:sqref>F4</xm:sqref>
        </x14:conditionalFormatting>
        <x14:conditionalFormatting xmlns:xm="http://schemas.microsoft.com/office/excel/2006/main">
          <x14:cfRule type="cellIs" priority="35" operator="greaterThanOrEqual" id="{6154AE3C-42BF-45B1-BA0B-86552AA3BAB7}">
            <xm:f>SetUp!$I$12</xm:f>
            <x14:dxf>
              <font>
                <color theme="0"/>
              </font>
              <fill>
                <patternFill>
                  <bgColor theme="7" tint="-0.24994659260841701"/>
                </patternFill>
              </fill>
            </x14:dxf>
          </x14:cfRule>
          <x14:cfRule type="cellIs" priority="34" operator="lessThan" id="{71AE74A2-5060-41F5-9187-F8D05E44CDA7}">
            <xm:f>SetUp!$I$12</xm:f>
            <x14:dxf>
              <fill>
                <patternFill>
                  <bgColor theme="7" tint="0.79998168889431442"/>
                </patternFill>
              </fill>
            </x14:dxf>
          </x14:cfRule>
          <xm:sqref>F5</xm:sqref>
        </x14:conditionalFormatting>
        <x14:conditionalFormatting xmlns:xm="http://schemas.microsoft.com/office/excel/2006/main">
          <x14:cfRule type="cellIs" priority="33" operator="greaterThanOrEqual" id="{86A1C9BA-9F54-4990-A3CC-C927CB4C681D}">
            <xm:f>SetUp!$I$13</xm:f>
            <x14:dxf>
              <font>
                <color theme="0"/>
              </font>
              <fill>
                <patternFill>
                  <bgColor theme="7" tint="-0.24994659260841701"/>
                </patternFill>
              </fill>
            </x14:dxf>
          </x14:cfRule>
          <x14:cfRule type="cellIs" priority="32" operator="lessThan" id="{BE5B8FD5-EE79-418F-8896-05A19363229F}">
            <xm:f>SetUp!$I$13</xm:f>
            <x14:dxf>
              <fill>
                <patternFill>
                  <bgColor theme="7" tint="0.79998168889431442"/>
                </patternFill>
              </fill>
            </x14:dxf>
          </x14:cfRule>
          <xm:sqref>F6</xm:sqref>
        </x14:conditionalFormatting>
        <x14:conditionalFormatting xmlns:xm="http://schemas.microsoft.com/office/excel/2006/main">
          <x14:cfRule type="cellIs" priority="31" operator="greaterThanOrEqual" id="{FA56B14C-E5FE-4845-B7CB-B7F3994540B9}">
            <xm:f>SetUp!$I$14</xm:f>
            <x14:dxf>
              <font>
                <color theme="0"/>
              </font>
              <fill>
                <patternFill>
                  <bgColor theme="7" tint="-0.24994659260841701"/>
                </patternFill>
              </fill>
            </x14:dxf>
          </x14:cfRule>
          <x14:cfRule type="cellIs" priority="30" operator="lessThan" id="{B4A60B2F-7BF3-4D6F-B55E-7EB18A5A28B4}">
            <xm:f>SetUp!$I$14</xm:f>
            <x14:dxf>
              <fill>
                <patternFill>
                  <bgColor theme="7" tint="0.79998168889431442"/>
                </patternFill>
              </fill>
            </x14:dxf>
          </x14:cfRule>
          <xm:sqref>F7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A4012-722E-4EF8-9E7A-37B5EB7D9E5A}">
  <dimension ref="A1:W60"/>
  <sheetViews>
    <sheetView showGridLines="0" workbookViewId="0">
      <selection activeCell="J46" sqref="J46"/>
    </sheetView>
  </sheetViews>
  <sheetFormatPr defaultColWidth="12" defaultRowHeight="14.5" x14ac:dyDescent="0.35"/>
  <cols>
    <col min="1" max="1" width="4.1796875" style="13" customWidth="1"/>
    <col min="2" max="2" width="11.453125" style="13" customWidth="1"/>
    <col min="3" max="5" width="15.54296875" style="13" bestFit="1" customWidth="1"/>
    <col min="6" max="6" width="14.81640625" style="13" customWidth="1"/>
    <col min="7" max="7" width="7.81640625" style="13" customWidth="1"/>
    <col min="8" max="8" width="6.1796875" style="13" bestFit="1" customWidth="1"/>
    <col min="9" max="9" width="16" style="13" customWidth="1"/>
    <col min="10" max="10" width="8.7265625" style="13" customWidth="1"/>
    <col min="11" max="11" width="13.7265625" style="13" customWidth="1"/>
    <col min="12" max="12" width="14.453125" style="13" customWidth="1"/>
    <col min="13" max="13" width="13.7265625" style="13" customWidth="1"/>
    <col min="14" max="14" width="15.54296875" style="13" customWidth="1"/>
    <col min="15" max="15" width="13.7265625" style="13" customWidth="1"/>
    <col min="16" max="16" width="14.453125" style="13" customWidth="1"/>
    <col min="17" max="17" width="12" style="13" customWidth="1"/>
    <col min="18" max="18" width="15.1796875" style="13" customWidth="1"/>
    <col min="19" max="19" width="12.81640625" style="13" customWidth="1"/>
    <col min="20" max="20" width="10.7265625" style="13" bestFit="1" customWidth="1"/>
    <col min="21" max="21" width="14.26953125" style="13" customWidth="1"/>
    <col min="22" max="22" width="4.453125" style="13" customWidth="1"/>
    <col min="23" max="16384" width="12" style="13"/>
  </cols>
  <sheetData>
    <row r="1" spans="1:23" ht="15" thickBot="1" x14ac:dyDescent="0.4">
      <c r="A1" s="34"/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</row>
    <row r="2" spans="1:23" ht="59" thickTop="1" thickBot="1" x14ac:dyDescent="0.4">
      <c r="A2" s="34"/>
      <c r="B2" s="12"/>
      <c r="C2" s="41" t="s">
        <v>43</v>
      </c>
      <c r="D2" s="42" t="s">
        <v>44</v>
      </c>
      <c r="E2" s="42" t="s">
        <v>45</v>
      </c>
      <c r="F2" s="43" t="s">
        <v>3</v>
      </c>
      <c r="G2" s="34"/>
      <c r="H2" s="133" t="s">
        <v>11</v>
      </c>
      <c r="I2" s="134"/>
      <c r="J2" s="34"/>
      <c r="K2" s="14" t="s">
        <v>21</v>
      </c>
      <c r="L2" s="46" t="s">
        <v>186</v>
      </c>
      <c r="M2" s="97" t="s">
        <v>187</v>
      </c>
      <c r="N2" s="97" t="s">
        <v>189</v>
      </c>
      <c r="O2" s="28" t="s">
        <v>190</v>
      </c>
      <c r="P2" s="97" t="s">
        <v>191</v>
      </c>
      <c r="Q2" s="28" t="s">
        <v>194</v>
      </c>
      <c r="R2" s="28" t="s">
        <v>195</v>
      </c>
      <c r="S2" s="28" t="s">
        <v>198</v>
      </c>
      <c r="T2" s="29" t="s">
        <v>25</v>
      </c>
      <c r="U2" s="34"/>
      <c r="V2" s="34"/>
      <c r="W2" s="34"/>
    </row>
    <row r="3" spans="1:23" ht="15" thickTop="1" x14ac:dyDescent="0.35">
      <c r="A3" s="34"/>
      <c r="B3" s="15" t="s">
        <v>4</v>
      </c>
      <c r="C3" s="60" t="e">
        <f>L16</f>
        <v>#DIV/0!</v>
      </c>
      <c r="D3" s="61" t="e">
        <f>N16</f>
        <v>#DIV/0!</v>
      </c>
      <c r="E3" s="61" t="e">
        <f>Q16</f>
        <v>#DIV/0!</v>
      </c>
      <c r="F3" s="62" t="e">
        <f>S16</f>
        <v>#DIV/0!</v>
      </c>
      <c r="G3" s="39"/>
      <c r="H3" s="16"/>
      <c r="I3" s="17" t="s">
        <v>41</v>
      </c>
      <c r="J3" s="34"/>
      <c r="K3" s="45">
        <v>10</v>
      </c>
      <c r="L3" s="47"/>
      <c r="M3" s="48"/>
      <c r="N3" s="48"/>
      <c r="O3" s="48"/>
      <c r="P3" s="48"/>
      <c r="Q3" s="48"/>
      <c r="R3" s="48"/>
      <c r="S3" s="48"/>
      <c r="T3" s="49"/>
      <c r="U3" s="34"/>
      <c r="V3" s="34"/>
      <c r="W3" s="34"/>
    </row>
    <row r="4" spans="1:23" ht="15" thickBot="1" x14ac:dyDescent="0.4">
      <c r="A4" s="34"/>
      <c r="B4" s="15" t="s">
        <v>5</v>
      </c>
      <c r="C4" s="73" t="e">
        <f>M16</f>
        <v>#DIV/0!</v>
      </c>
      <c r="D4" s="61" t="e">
        <f>O16</f>
        <v>#DIV/0!</v>
      </c>
      <c r="E4" s="74">
        <f>R15</f>
        <v>0</v>
      </c>
      <c r="F4" s="72">
        <f>R34</f>
        <v>0</v>
      </c>
      <c r="G4" s="34"/>
      <c r="H4" s="16"/>
      <c r="I4" s="17" t="s">
        <v>42</v>
      </c>
      <c r="J4" s="34"/>
      <c r="K4" s="18">
        <v>11</v>
      </c>
      <c r="L4" s="50"/>
      <c r="M4" s="51"/>
      <c r="N4" s="51"/>
      <c r="O4" s="51"/>
      <c r="P4" s="51"/>
      <c r="Q4" s="51"/>
      <c r="R4" s="51"/>
      <c r="S4" s="51"/>
      <c r="T4" s="52"/>
      <c r="U4" s="34"/>
      <c r="V4" s="34"/>
      <c r="W4" s="34"/>
    </row>
    <row r="5" spans="1:23" ht="15.5" thickTop="1" thickBot="1" x14ac:dyDescent="0.4">
      <c r="A5" s="34"/>
      <c r="B5" s="15" t="s">
        <v>6</v>
      </c>
      <c r="C5" s="69">
        <f>K34</f>
        <v>0</v>
      </c>
      <c r="D5" s="74" t="e">
        <f>P16</f>
        <v>#DIV/0!</v>
      </c>
      <c r="E5" s="70">
        <f>P34</f>
        <v>0</v>
      </c>
      <c r="F5" s="71">
        <f>S34</f>
        <v>0</v>
      </c>
      <c r="G5" s="34"/>
      <c r="H5" s="16"/>
      <c r="I5" s="17" t="s">
        <v>9</v>
      </c>
      <c r="J5" s="34"/>
      <c r="K5" s="18">
        <v>12</v>
      </c>
      <c r="L5" s="50"/>
      <c r="M5" s="51"/>
      <c r="N5" s="51"/>
      <c r="O5" s="51"/>
      <c r="P5" s="51"/>
      <c r="Q5" s="51"/>
      <c r="R5" s="51"/>
      <c r="S5" s="51"/>
      <c r="T5" s="52"/>
      <c r="U5" s="34"/>
      <c r="V5" s="34"/>
      <c r="W5" s="34"/>
    </row>
    <row r="6" spans="1:23" ht="15" thickTop="1" x14ac:dyDescent="0.35">
      <c r="A6" s="34"/>
      <c r="B6" s="15" t="s">
        <v>7</v>
      </c>
      <c r="C6" s="63">
        <f>L34</f>
        <v>0</v>
      </c>
      <c r="D6" s="70">
        <f>N34</f>
        <v>0</v>
      </c>
      <c r="E6" s="64">
        <f>Q34</f>
        <v>0</v>
      </c>
      <c r="F6" s="65">
        <f>T34</f>
        <v>0</v>
      </c>
      <c r="G6" s="34"/>
      <c r="H6" s="16"/>
      <c r="I6" s="17" t="s">
        <v>10</v>
      </c>
      <c r="J6" s="34"/>
      <c r="K6" s="18">
        <v>1</v>
      </c>
      <c r="L6" s="50"/>
      <c r="M6" s="51"/>
      <c r="N6" s="51"/>
      <c r="O6" s="51"/>
      <c r="P6" s="51"/>
      <c r="Q6" s="51"/>
      <c r="R6" s="51"/>
      <c r="S6" s="51"/>
      <c r="T6" s="52"/>
      <c r="U6" s="34"/>
      <c r="V6" s="34"/>
      <c r="W6" s="34"/>
    </row>
    <row r="7" spans="1:23" ht="15" thickBot="1" x14ac:dyDescent="0.4">
      <c r="A7" s="34"/>
      <c r="B7" s="19" t="s">
        <v>8</v>
      </c>
      <c r="C7" s="66">
        <f>M34</f>
        <v>0</v>
      </c>
      <c r="D7" s="67">
        <f>O34</f>
        <v>0</v>
      </c>
      <c r="E7" s="67"/>
      <c r="F7" s="68">
        <f>U34</f>
        <v>0</v>
      </c>
      <c r="G7" s="34"/>
      <c r="H7" s="16"/>
      <c r="I7" s="17" t="s">
        <v>14</v>
      </c>
      <c r="J7" s="34"/>
      <c r="K7" s="18">
        <v>2</v>
      </c>
      <c r="L7" s="50"/>
      <c r="M7" s="51"/>
      <c r="N7" s="51"/>
      <c r="O7" s="51"/>
      <c r="P7" s="51"/>
      <c r="Q7" s="51"/>
      <c r="R7" s="51"/>
      <c r="S7" s="51"/>
      <c r="T7" s="52"/>
      <c r="U7" s="34"/>
      <c r="V7" s="34"/>
      <c r="W7" s="34"/>
    </row>
    <row r="8" spans="1:23" ht="27" customHeight="1" thickTop="1" thickBot="1" x14ac:dyDescent="0.4">
      <c r="A8" s="34"/>
      <c r="B8" s="20" t="s">
        <v>12</v>
      </c>
      <c r="C8" s="21" t="e">
        <f>K42</f>
        <v>#DIV/0!</v>
      </c>
      <c r="D8" s="21" t="e">
        <f>L42</f>
        <v>#DIV/0!</v>
      </c>
      <c r="E8" s="21" t="e">
        <f>M42</f>
        <v>#DIV/0!</v>
      </c>
      <c r="F8" s="21" t="e">
        <f>N42</f>
        <v>#DIV/0!</v>
      </c>
      <c r="G8" s="34"/>
      <c r="H8" s="22"/>
      <c r="I8" s="23" t="s">
        <v>13</v>
      </c>
      <c r="J8" s="34"/>
      <c r="K8" s="18">
        <v>3</v>
      </c>
      <c r="L8" s="50"/>
      <c r="M8" s="51"/>
      <c r="N8" s="51"/>
      <c r="O8" s="51"/>
      <c r="P8" s="51"/>
      <c r="Q8" s="51"/>
      <c r="R8" s="51"/>
      <c r="S8" s="51"/>
      <c r="T8" s="52"/>
      <c r="U8" s="34"/>
      <c r="V8" s="34"/>
      <c r="W8" s="34"/>
    </row>
    <row r="9" spans="1:23" ht="15" thickTop="1" x14ac:dyDescent="0.35">
      <c r="A9" s="34"/>
      <c r="B9" s="200" t="s">
        <v>31</v>
      </c>
      <c r="C9" s="137" t="e">
        <f>N44</f>
        <v>#DIV/0!</v>
      </c>
      <c r="D9" s="138"/>
      <c r="E9" s="138"/>
      <c r="F9" s="139"/>
      <c r="G9" s="34"/>
      <c r="H9" s="22"/>
      <c r="I9" s="23" t="s">
        <v>40</v>
      </c>
      <c r="J9" s="34"/>
      <c r="K9" s="18">
        <v>4</v>
      </c>
      <c r="L9" s="50"/>
      <c r="M9" s="51"/>
      <c r="N9" s="51"/>
      <c r="O9" s="51"/>
      <c r="P9" s="51"/>
      <c r="Q9" s="51"/>
      <c r="R9" s="51"/>
      <c r="S9" s="51"/>
      <c r="T9" s="52"/>
      <c r="U9" s="34"/>
      <c r="V9" s="34"/>
      <c r="W9" s="34"/>
    </row>
    <row r="10" spans="1:23" ht="15" thickBot="1" x14ac:dyDescent="0.4">
      <c r="A10" s="34"/>
      <c r="B10" s="201"/>
      <c r="C10" s="140"/>
      <c r="D10" s="141"/>
      <c r="E10" s="141"/>
      <c r="F10" s="142"/>
      <c r="G10" s="34"/>
      <c r="H10" s="24" t="s">
        <v>46</v>
      </c>
      <c r="I10" s="25" t="s">
        <v>47</v>
      </c>
      <c r="J10" s="34"/>
      <c r="K10" s="18">
        <v>5</v>
      </c>
      <c r="L10" s="50"/>
      <c r="M10" s="51"/>
      <c r="N10" s="51"/>
      <c r="O10" s="51"/>
      <c r="P10" s="51"/>
      <c r="Q10" s="51"/>
      <c r="R10" s="51"/>
      <c r="S10" s="51"/>
      <c r="T10" s="52"/>
      <c r="U10" s="34"/>
      <c r="V10" s="34"/>
      <c r="W10" s="34"/>
    </row>
    <row r="11" spans="1:23" s="26" customFormat="1" ht="15.5" thickTop="1" thickBot="1" x14ac:dyDescent="0.4">
      <c r="A11" s="34"/>
      <c r="B11" s="34"/>
      <c r="C11" s="40"/>
      <c r="D11" s="40"/>
      <c r="E11" s="40"/>
      <c r="F11" s="40"/>
      <c r="G11" s="34"/>
      <c r="H11" s="34"/>
      <c r="I11" s="34"/>
      <c r="J11" s="34"/>
      <c r="K11" s="18">
        <v>6</v>
      </c>
      <c r="L11" s="50"/>
      <c r="M11" s="51"/>
      <c r="N11" s="51"/>
      <c r="O11" s="51"/>
      <c r="P11" s="51"/>
      <c r="Q11" s="51"/>
      <c r="R11" s="51"/>
      <c r="S11" s="51"/>
      <c r="T11" s="52"/>
      <c r="U11" s="34"/>
      <c r="V11" s="34"/>
      <c r="W11" s="34"/>
    </row>
    <row r="12" spans="1:23" ht="15.5" thickTop="1" thickBot="1" x14ac:dyDescent="0.4">
      <c r="A12" s="34"/>
      <c r="B12" s="14" t="s">
        <v>22</v>
      </c>
      <c r="C12" s="27" t="s">
        <v>15</v>
      </c>
      <c r="D12" s="28" t="s">
        <v>16</v>
      </c>
      <c r="E12" s="28" t="s">
        <v>17</v>
      </c>
      <c r="F12" s="28" t="s">
        <v>18</v>
      </c>
      <c r="G12" s="28" t="s">
        <v>19</v>
      </c>
      <c r="H12" s="29" t="s">
        <v>20</v>
      </c>
      <c r="I12" s="34"/>
      <c r="J12" s="34"/>
      <c r="K12" s="18">
        <v>7</v>
      </c>
      <c r="L12" s="50"/>
      <c r="M12" s="51"/>
      <c r="N12" s="51"/>
      <c r="O12" s="51"/>
      <c r="P12" s="51"/>
      <c r="Q12" s="51"/>
      <c r="R12" s="51"/>
      <c r="S12" s="51"/>
      <c r="T12" s="52"/>
      <c r="U12" s="34"/>
      <c r="V12" s="34"/>
      <c r="W12" s="34"/>
    </row>
    <row r="13" spans="1:23" ht="15" thickTop="1" x14ac:dyDescent="0.35">
      <c r="A13" s="34"/>
      <c r="B13" s="12">
        <v>20</v>
      </c>
      <c r="C13" s="47"/>
      <c r="D13" s="48"/>
      <c r="E13" s="48"/>
      <c r="F13" s="48"/>
      <c r="G13" s="48"/>
      <c r="H13" s="49"/>
      <c r="I13" s="202"/>
      <c r="J13" s="34"/>
      <c r="K13" s="18">
        <v>8</v>
      </c>
      <c r="L13" s="50"/>
      <c r="M13" s="51"/>
      <c r="N13" s="51"/>
      <c r="O13" s="51"/>
      <c r="P13" s="51"/>
      <c r="Q13" s="51"/>
      <c r="R13" s="51"/>
      <c r="S13" s="51"/>
      <c r="T13" s="52"/>
      <c r="U13" s="34"/>
      <c r="V13" s="34"/>
      <c r="W13" s="34"/>
    </row>
    <row r="14" spans="1:23" ht="15" thickBot="1" x14ac:dyDescent="0.4">
      <c r="A14" s="34"/>
      <c r="B14" s="30">
        <v>21</v>
      </c>
      <c r="C14" s="50"/>
      <c r="D14" s="51"/>
      <c r="E14" s="51"/>
      <c r="F14" s="51"/>
      <c r="G14" s="51"/>
      <c r="H14" s="52"/>
      <c r="I14" s="202"/>
      <c r="J14" s="34"/>
      <c r="K14" s="31">
        <v>9</v>
      </c>
      <c r="L14" s="53"/>
      <c r="M14" s="54"/>
      <c r="N14" s="54"/>
      <c r="O14" s="54"/>
      <c r="P14" s="54"/>
      <c r="Q14" s="54"/>
      <c r="R14" s="54"/>
      <c r="S14" s="54"/>
      <c r="T14" s="55"/>
      <c r="U14" s="34"/>
      <c r="V14" s="34"/>
      <c r="W14" s="34"/>
    </row>
    <row r="15" spans="1:23" ht="17" thickTop="1" thickBot="1" x14ac:dyDescent="0.4">
      <c r="A15" s="34"/>
      <c r="B15" s="30">
        <v>22</v>
      </c>
      <c r="C15" s="50"/>
      <c r="D15" s="51"/>
      <c r="E15" s="51"/>
      <c r="F15" s="51"/>
      <c r="G15" s="51"/>
      <c r="H15" s="52"/>
      <c r="I15" s="202"/>
      <c r="J15" s="34"/>
      <c r="K15" s="32" t="s">
        <v>23</v>
      </c>
      <c r="L15" s="21">
        <f t="shared" ref="L15:Q15" si="0">SUM(L3:L14)</f>
        <v>0</v>
      </c>
      <c r="M15" s="21">
        <f t="shared" si="0"/>
        <v>0</v>
      </c>
      <c r="N15" s="21">
        <f t="shared" si="0"/>
        <v>0</v>
      </c>
      <c r="O15" s="21">
        <f t="shared" si="0"/>
        <v>0</v>
      </c>
      <c r="P15" s="21">
        <f t="shared" si="0"/>
        <v>0</v>
      </c>
      <c r="Q15" s="21">
        <f t="shared" si="0"/>
        <v>0</v>
      </c>
      <c r="R15" s="21">
        <f t="shared" ref="R15" si="1">SUM(R3:R14)</f>
        <v>0</v>
      </c>
      <c r="S15" s="21">
        <f>SUM(S3:S14)</f>
        <v>0</v>
      </c>
      <c r="T15" s="21">
        <f>SUM(T3:T14)</f>
        <v>0</v>
      </c>
      <c r="U15" s="34"/>
      <c r="V15" s="34"/>
      <c r="W15" s="34"/>
    </row>
    <row r="16" spans="1:23" ht="17" thickTop="1" thickBot="1" x14ac:dyDescent="0.4">
      <c r="A16" s="34"/>
      <c r="B16" s="30">
        <v>23</v>
      </c>
      <c r="C16" s="50"/>
      <c r="D16" s="51"/>
      <c r="E16" s="51"/>
      <c r="F16" s="51"/>
      <c r="G16" s="51"/>
      <c r="H16" s="52"/>
      <c r="I16" s="202"/>
      <c r="J16" s="34"/>
      <c r="K16" s="32" t="s">
        <v>24</v>
      </c>
      <c r="L16" s="59" t="e">
        <f>SUM((L15/Q15)*100)</f>
        <v>#DIV/0!</v>
      </c>
      <c r="M16" s="59" t="e">
        <f>SUM((1-((M15)/Q15))*100)</f>
        <v>#DIV/0!</v>
      </c>
      <c r="N16" s="59" t="e">
        <f>SUM((1-(N15/Q15))*100)</f>
        <v>#DIV/0!</v>
      </c>
      <c r="O16" s="59" t="e">
        <f>SUM(O15/Q15)*100</f>
        <v>#DIV/0!</v>
      </c>
      <c r="P16" s="59" t="e">
        <f>SUM((1-(P15/Q15))*100)</f>
        <v>#DIV/0!</v>
      </c>
      <c r="Q16" s="59" t="e">
        <f>Q15/F47</f>
        <v>#DIV/0!</v>
      </c>
      <c r="R16" s="59"/>
      <c r="S16" s="59" t="e">
        <f>SUM((1-(S15/T15))*100)</f>
        <v>#DIV/0!</v>
      </c>
      <c r="T16" s="59"/>
      <c r="U16" s="34"/>
      <c r="V16" s="34"/>
      <c r="W16" s="34"/>
    </row>
    <row r="17" spans="1:23" ht="25.5" customHeight="1" thickTop="1" thickBot="1" x14ac:dyDescent="0.4">
      <c r="A17" s="34"/>
      <c r="B17" s="30">
        <v>24</v>
      </c>
      <c r="C17" s="50"/>
      <c r="D17" s="51"/>
      <c r="E17" s="51"/>
      <c r="F17" s="51"/>
      <c r="G17" s="51"/>
      <c r="H17" s="52"/>
      <c r="I17" s="202"/>
      <c r="J17" s="34"/>
      <c r="K17" s="20" t="s">
        <v>69</v>
      </c>
      <c r="L17" s="77" t="s">
        <v>67</v>
      </c>
      <c r="M17" s="77" t="s">
        <v>68</v>
      </c>
      <c r="N17" s="77" t="s">
        <v>73</v>
      </c>
      <c r="O17" s="77" t="s">
        <v>74</v>
      </c>
      <c r="P17" s="77" t="s">
        <v>75</v>
      </c>
      <c r="Q17" s="77" t="s">
        <v>78</v>
      </c>
      <c r="R17" s="77" t="s">
        <v>79</v>
      </c>
      <c r="S17" s="77" t="s">
        <v>82</v>
      </c>
      <c r="T17" s="77"/>
      <c r="U17" s="34"/>
      <c r="V17" s="34"/>
      <c r="W17" s="34"/>
    </row>
    <row r="18" spans="1:23" ht="15.5" thickTop="1" thickBot="1" x14ac:dyDescent="0.4">
      <c r="A18" s="34"/>
      <c r="B18" s="30">
        <v>25</v>
      </c>
      <c r="C18" s="50"/>
      <c r="D18" s="51"/>
      <c r="E18" s="51"/>
      <c r="F18" s="51"/>
      <c r="G18" s="51"/>
      <c r="H18" s="52"/>
      <c r="I18" s="202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</row>
    <row r="19" spans="1:23" ht="19.5" customHeight="1" thickTop="1" x14ac:dyDescent="0.35">
      <c r="A19" s="34"/>
      <c r="B19" s="30">
        <v>26</v>
      </c>
      <c r="C19" s="50"/>
      <c r="D19" s="51"/>
      <c r="E19" s="51"/>
      <c r="F19" s="51"/>
      <c r="G19" s="51"/>
      <c r="H19" s="52"/>
      <c r="I19" s="202"/>
      <c r="J19" s="143" t="s">
        <v>21</v>
      </c>
      <c r="K19" s="146" t="s">
        <v>188</v>
      </c>
      <c r="L19" s="146" t="s">
        <v>202</v>
      </c>
      <c r="M19" s="146" t="s">
        <v>201</v>
      </c>
      <c r="N19" s="146" t="s">
        <v>192</v>
      </c>
      <c r="O19" s="146" t="s">
        <v>193</v>
      </c>
      <c r="P19" s="146" t="s">
        <v>196</v>
      </c>
      <c r="Q19" s="146" t="s">
        <v>197</v>
      </c>
      <c r="R19" s="146" t="s">
        <v>203</v>
      </c>
      <c r="S19" s="146" t="s">
        <v>199</v>
      </c>
      <c r="T19" s="146" t="s">
        <v>204</v>
      </c>
      <c r="U19" s="149" t="s">
        <v>200</v>
      </c>
      <c r="V19" s="34"/>
      <c r="W19" s="34"/>
    </row>
    <row r="20" spans="1:23" ht="20.149999999999999" customHeight="1" x14ac:dyDescent="0.35">
      <c r="A20" s="34"/>
      <c r="B20" s="30">
        <v>1</v>
      </c>
      <c r="C20" s="50"/>
      <c r="D20" s="51"/>
      <c r="E20" s="51"/>
      <c r="F20" s="51"/>
      <c r="G20" s="51"/>
      <c r="H20" s="52"/>
      <c r="I20" s="202"/>
      <c r="J20" s="144"/>
      <c r="K20" s="147"/>
      <c r="L20" s="147"/>
      <c r="M20" s="147"/>
      <c r="N20" s="147"/>
      <c r="O20" s="147"/>
      <c r="P20" s="147"/>
      <c r="Q20" s="147"/>
      <c r="R20" s="147"/>
      <c r="S20" s="147"/>
      <c r="T20" s="147"/>
      <c r="U20" s="150"/>
      <c r="V20" s="34"/>
      <c r="W20" s="34"/>
    </row>
    <row r="21" spans="1:23" ht="20.5" customHeight="1" thickBot="1" x14ac:dyDescent="0.4">
      <c r="A21" s="34"/>
      <c r="B21" s="30">
        <v>2</v>
      </c>
      <c r="C21" s="50"/>
      <c r="D21" s="51"/>
      <c r="E21" s="51"/>
      <c r="F21" s="51"/>
      <c r="G21" s="51"/>
      <c r="H21" s="52"/>
      <c r="I21" s="202"/>
      <c r="J21" s="145"/>
      <c r="K21" s="148"/>
      <c r="L21" s="148"/>
      <c r="M21" s="148"/>
      <c r="N21" s="148"/>
      <c r="O21" s="148"/>
      <c r="P21" s="148"/>
      <c r="Q21" s="148"/>
      <c r="R21" s="148"/>
      <c r="S21" s="148"/>
      <c r="T21" s="148"/>
      <c r="U21" s="151"/>
      <c r="V21" s="34"/>
      <c r="W21" s="34"/>
    </row>
    <row r="22" spans="1:23" ht="15" thickTop="1" x14ac:dyDescent="0.35">
      <c r="A22" s="34"/>
      <c r="B22" s="30">
        <v>3</v>
      </c>
      <c r="C22" s="50"/>
      <c r="D22" s="51"/>
      <c r="E22" s="51"/>
      <c r="F22" s="51"/>
      <c r="G22" s="51"/>
      <c r="H22" s="52"/>
      <c r="I22" s="202"/>
      <c r="J22" s="10">
        <v>10</v>
      </c>
      <c r="K22" s="56"/>
      <c r="L22" s="48"/>
      <c r="M22" s="48"/>
      <c r="N22" s="48"/>
      <c r="O22" s="48"/>
      <c r="P22" s="48"/>
      <c r="Q22" s="48"/>
      <c r="R22" s="48"/>
      <c r="S22" s="48"/>
      <c r="T22" s="48"/>
      <c r="U22" s="49"/>
      <c r="V22" s="34"/>
      <c r="W22" s="34"/>
    </row>
    <row r="23" spans="1:23" x14ac:dyDescent="0.35">
      <c r="A23" s="34"/>
      <c r="B23" s="30">
        <v>4</v>
      </c>
      <c r="C23" s="50"/>
      <c r="D23" s="51"/>
      <c r="E23" s="51"/>
      <c r="F23" s="51"/>
      <c r="G23" s="51"/>
      <c r="H23" s="52"/>
      <c r="I23" s="202"/>
      <c r="J23" s="15">
        <v>11</v>
      </c>
      <c r="K23" s="57"/>
      <c r="L23" s="51"/>
      <c r="M23" s="51"/>
      <c r="N23" s="51"/>
      <c r="O23" s="51"/>
      <c r="P23" s="51"/>
      <c r="Q23" s="51"/>
      <c r="R23" s="51"/>
      <c r="S23" s="51"/>
      <c r="T23" s="51"/>
      <c r="U23" s="52"/>
      <c r="V23" s="34"/>
      <c r="W23" s="34"/>
    </row>
    <row r="24" spans="1:23" x14ac:dyDescent="0.35">
      <c r="A24" s="34"/>
      <c r="B24" s="30">
        <v>5</v>
      </c>
      <c r="C24" s="50"/>
      <c r="D24" s="51"/>
      <c r="E24" s="51"/>
      <c r="F24" s="51"/>
      <c r="G24" s="51"/>
      <c r="H24" s="52"/>
      <c r="I24" s="107"/>
      <c r="J24" s="15">
        <v>12</v>
      </c>
      <c r="K24" s="57"/>
      <c r="L24" s="51"/>
      <c r="M24" s="51"/>
      <c r="N24" s="51"/>
      <c r="O24" s="51"/>
      <c r="P24" s="51"/>
      <c r="Q24" s="51"/>
      <c r="R24" s="51"/>
      <c r="S24" s="51"/>
      <c r="T24" s="51"/>
      <c r="U24" s="52"/>
      <c r="V24" s="34"/>
      <c r="W24" s="34"/>
    </row>
    <row r="25" spans="1:23" x14ac:dyDescent="0.35">
      <c r="A25" s="34"/>
      <c r="B25" s="30">
        <v>6</v>
      </c>
      <c r="C25" s="50"/>
      <c r="D25" s="51"/>
      <c r="E25" s="51"/>
      <c r="F25" s="51"/>
      <c r="G25" s="51"/>
      <c r="H25" s="52"/>
      <c r="I25" s="107"/>
      <c r="J25" s="15">
        <v>1</v>
      </c>
      <c r="K25" s="57"/>
      <c r="L25" s="51"/>
      <c r="M25" s="51"/>
      <c r="N25" s="51"/>
      <c r="O25" s="51"/>
      <c r="P25" s="51"/>
      <c r="Q25" s="51"/>
      <c r="R25" s="98"/>
      <c r="S25" s="51"/>
      <c r="T25" s="51"/>
      <c r="U25" s="52"/>
      <c r="V25" s="34"/>
      <c r="W25" s="34"/>
    </row>
    <row r="26" spans="1:23" x14ac:dyDescent="0.35">
      <c r="A26" s="34"/>
      <c r="B26" s="30">
        <v>7</v>
      </c>
      <c r="C26" s="50"/>
      <c r="D26" s="51"/>
      <c r="E26" s="51"/>
      <c r="F26" s="51"/>
      <c r="G26" s="51"/>
      <c r="H26" s="52"/>
      <c r="I26" s="107"/>
      <c r="J26" s="15">
        <v>2</v>
      </c>
      <c r="K26" s="57"/>
      <c r="L26" s="51"/>
      <c r="M26" s="51"/>
      <c r="N26" s="51"/>
      <c r="O26" s="51"/>
      <c r="P26" s="51"/>
      <c r="Q26" s="51"/>
      <c r="R26" s="51"/>
      <c r="S26" s="51"/>
      <c r="T26" s="51"/>
      <c r="U26" s="52"/>
      <c r="V26" s="34"/>
      <c r="W26" s="34"/>
    </row>
    <row r="27" spans="1:23" x14ac:dyDescent="0.35">
      <c r="A27" s="34"/>
      <c r="B27" s="30">
        <v>8</v>
      </c>
      <c r="C27" s="50"/>
      <c r="D27" s="51"/>
      <c r="E27" s="51"/>
      <c r="F27" s="51"/>
      <c r="G27" s="51"/>
      <c r="H27" s="52"/>
      <c r="I27" s="107"/>
      <c r="J27" s="15">
        <v>3</v>
      </c>
      <c r="K27" s="57"/>
      <c r="L27" s="51"/>
      <c r="M27" s="51"/>
      <c r="N27" s="51"/>
      <c r="O27" s="51"/>
      <c r="P27" s="51"/>
      <c r="Q27" s="51"/>
      <c r="R27" s="51"/>
      <c r="S27" s="51"/>
      <c r="T27" s="51"/>
      <c r="U27" s="52"/>
      <c r="V27" s="34"/>
      <c r="W27" s="34"/>
    </row>
    <row r="28" spans="1:23" x14ac:dyDescent="0.35">
      <c r="A28" s="34"/>
      <c r="B28" s="30">
        <v>9</v>
      </c>
      <c r="C28" s="50"/>
      <c r="D28" s="51"/>
      <c r="E28" s="51"/>
      <c r="F28" s="51"/>
      <c r="G28" s="51"/>
      <c r="H28" s="52"/>
      <c r="I28" s="107"/>
      <c r="J28" s="15">
        <v>4</v>
      </c>
      <c r="K28" s="57"/>
      <c r="L28" s="51"/>
      <c r="M28" s="51"/>
      <c r="N28" s="51"/>
      <c r="O28" s="51"/>
      <c r="P28" s="51"/>
      <c r="Q28" s="51"/>
      <c r="R28" s="51"/>
      <c r="S28" s="51"/>
      <c r="T28" s="51"/>
      <c r="U28" s="52"/>
      <c r="V28" s="34"/>
      <c r="W28" s="34"/>
    </row>
    <row r="29" spans="1:23" x14ac:dyDescent="0.35">
      <c r="A29" s="34"/>
      <c r="B29" s="30">
        <v>10</v>
      </c>
      <c r="C29" s="50"/>
      <c r="D29" s="51"/>
      <c r="E29" s="51"/>
      <c r="F29" s="51"/>
      <c r="G29" s="51"/>
      <c r="H29" s="52"/>
      <c r="I29" s="107"/>
      <c r="J29" s="15">
        <v>5</v>
      </c>
      <c r="K29" s="57"/>
      <c r="L29" s="51"/>
      <c r="M29" s="51"/>
      <c r="N29" s="51"/>
      <c r="O29" s="51"/>
      <c r="P29" s="51"/>
      <c r="Q29" s="51"/>
      <c r="R29" s="51"/>
      <c r="S29" s="51"/>
      <c r="T29" s="51"/>
      <c r="U29" s="52"/>
      <c r="V29" s="34"/>
      <c r="W29" s="34"/>
    </row>
    <row r="30" spans="1:23" x14ac:dyDescent="0.35">
      <c r="A30" s="34"/>
      <c r="B30" s="30">
        <v>11</v>
      </c>
      <c r="C30" s="50"/>
      <c r="D30" s="51"/>
      <c r="E30" s="51"/>
      <c r="F30" s="51"/>
      <c r="G30" s="51"/>
      <c r="H30" s="52"/>
      <c r="I30" s="107"/>
      <c r="J30" s="15">
        <v>6</v>
      </c>
      <c r="K30" s="57"/>
      <c r="L30" s="51"/>
      <c r="M30" s="51"/>
      <c r="N30" s="51"/>
      <c r="O30" s="51"/>
      <c r="P30" s="51"/>
      <c r="Q30" s="51"/>
      <c r="R30" s="51"/>
      <c r="S30" s="51"/>
      <c r="T30" s="51"/>
      <c r="U30" s="52"/>
      <c r="V30" s="34"/>
      <c r="W30" s="34"/>
    </row>
    <row r="31" spans="1:23" x14ac:dyDescent="0.35">
      <c r="A31" s="34"/>
      <c r="B31" s="30">
        <v>12</v>
      </c>
      <c r="C31" s="50"/>
      <c r="D31" s="51"/>
      <c r="E31" s="51"/>
      <c r="F31" s="51"/>
      <c r="G31" s="51"/>
      <c r="H31" s="52"/>
      <c r="I31" s="107"/>
      <c r="J31" s="15">
        <v>7</v>
      </c>
      <c r="K31" s="57"/>
      <c r="L31" s="51"/>
      <c r="M31" s="51"/>
      <c r="N31" s="51"/>
      <c r="O31" s="51"/>
      <c r="P31" s="51"/>
      <c r="Q31" s="51"/>
      <c r="R31" s="51"/>
      <c r="S31" s="51"/>
      <c r="T31" s="51"/>
      <c r="U31" s="52"/>
      <c r="V31" s="34"/>
      <c r="W31" s="34"/>
    </row>
    <row r="32" spans="1:23" x14ac:dyDescent="0.35">
      <c r="A32" s="34"/>
      <c r="B32" s="30">
        <v>13</v>
      </c>
      <c r="C32" s="50"/>
      <c r="D32" s="51"/>
      <c r="E32" s="51"/>
      <c r="F32" s="51"/>
      <c r="G32" s="51"/>
      <c r="H32" s="52"/>
      <c r="I32" s="107"/>
      <c r="J32" s="15">
        <v>8</v>
      </c>
      <c r="K32" s="57"/>
      <c r="L32" s="51"/>
      <c r="M32" s="51"/>
      <c r="N32" s="51"/>
      <c r="O32" s="51"/>
      <c r="P32" s="51"/>
      <c r="Q32" s="51"/>
      <c r="R32" s="51"/>
      <c r="S32" s="51"/>
      <c r="T32" s="51"/>
      <c r="U32" s="52"/>
      <c r="V32" s="34"/>
      <c r="W32" s="34"/>
    </row>
    <row r="33" spans="1:23" ht="15" thickBot="1" x14ac:dyDescent="0.4">
      <c r="A33" s="34"/>
      <c r="B33" s="30">
        <v>14</v>
      </c>
      <c r="C33" s="50"/>
      <c r="D33" s="51"/>
      <c r="E33" s="51"/>
      <c r="F33" s="51"/>
      <c r="G33" s="51"/>
      <c r="H33" s="52"/>
      <c r="I33" s="107"/>
      <c r="J33" s="44">
        <v>9</v>
      </c>
      <c r="K33" s="58"/>
      <c r="L33" s="54"/>
      <c r="M33" s="54"/>
      <c r="N33" s="54"/>
      <c r="O33" s="54"/>
      <c r="P33" s="54"/>
      <c r="Q33" s="54"/>
      <c r="R33" s="54"/>
      <c r="S33" s="54"/>
      <c r="T33" s="54"/>
      <c r="U33" s="55"/>
      <c r="V33" s="34"/>
      <c r="W33" s="34"/>
    </row>
    <row r="34" spans="1:23" ht="17" thickTop="1" thickBot="1" x14ac:dyDescent="0.4">
      <c r="A34" s="34"/>
      <c r="B34" s="30">
        <v>15</v>
      </c>
      <c r="C34" s="50"/>
      <c r="D34" s="51"/>
      <c r="E34" s="51"/>
      <c r="F34" s="51"/>
      <c r="G34" s="51"/>
      <c r="H34" s="52"/>
      <c r="I34" s="107"/>
      <c r="J34" s="32" t="s">
        <v>23</v>
      </c>
      <c r="K34" s="33">
        <f t="shared" ref="K34:U34" si="2">SUM(K22:K33)</f>
        <v>0</v>
      </c>
      <c r="L34" s="33">
        <f t="shared" si="2"/>
        <v>0</v>
      </c>
      <c r="M34" s="33">
        <f t="shared" si="2"/>
        <v>0</v>
      </c>
      <c r="N34" s="33">
        <f t="shared" si="2"/>
        <v>0</v>
      </c>
      <c r="O34" s="33">
        <f t="shared" si="2"/>
        <v>0</v>
      </c>
      <c r="P34" s="33">
        <f t="shared" si="2"/>
        <v>0</v>
      </c>
      <c r="Q34" s="33">
        <f t="shared" si="2"/>
        <v>0</v>
      </c>
      <c r="R34" s="33">
        <f t="shared" si="2"/>
        <v>0</v>
      </c>
      <c r="S34" s="33">
        <f t="shared" si="2"/>
        <v>0</v>
      </c>
      <c r="T34" s="33">
        <f t="shared" si="2"/>
        <v>0</v>
      </c>
      <c r="U34" s="21">
        <f t="shared" si="2"/>
        <v>0</v>
      </c>
      <c r="V34" s="34"/>
      <c r="W34" s="34"/>
    </row>
    <row r="35" spans="1:23" ht="25" thickTop="1" thickBot="1" x14ac:dyDescent="0.4">
      <c r="A35" s="34"/>
      <c r="B35" s="30">
        <v>16</v>
      </c>
      <c r="C35" s="50"/>
      <c r="D35" s="51"/>
      <c r="E35" s="51"/>
      <c r="F35" s="51"/>
      <c r="G35" s="51"/>
      <c r="H35" s="52"/>
      <c r="I35" s="107"/>
      <c r="J35" s="76" t="s">
        <v>69</v>
      </c>
      <c r="K35" s="77" t="s">
        <v>70</v>
      </c>
      <c r="L35" s="77" t="s">
        <v>71</v>
      </c>
      <c r="M35" s="77" t="s">
        <v>72</v>
      </c>
      <c r="N35" s="77" t="s">
        <v>76</v>
      </c>
      <c r="O35" s="77" t="s">
        <v>77</v>
      </c>
      <c r="P35" s="77" t="s">
        <v>80</v>
      </c>
      <c r="Q35" s="77" t="s">
        <v>81</v>
      </c>
      <c r="R35" s="77" t="s">
        <v>83</v>
      </c>
      <c r="S35" s="77" t="s">
        <v>84</v>
      </c>
      <c r="T35" s="77" t="s">
        <v>85</v>
      </c>
      <c r="U35" s="77" t="s">
        <v>86</v>
      </c>
      <c r="V35" s="34"/>
      <c r="W35" s="34"/>
    </row>
    <row r="36" spans="1:23" ht="15" thickTop="1" x14ac:dyDescent="0.35">
      <c r="A36" s="34"/>
      <c r="B36" s="30">
        <v>17</v>
      </c>
      <c r="C36" s="50"/>
      <c r="D36" s="51"/>
      <c r="E36" s="51"/>
      <c r="F36" s="51"/>
      <c r="G36" s="51"/>
      <c r="H36" s="52"/>
      <c r="I36" s="107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</row>
    <row r="37" spans="1:23" x14ac:dyDescent="0.35">
      <c r="A37" s="34"/>
      <c r="B37" s="30">
        <v>18</v>
      </c>
      <c r="C37" s="50"/>
      <c r="D37" s="51"/>
      <c r="E37" s="51"/>
      <c r="F37" s="51"/>
      <c r="G37" s="51"/>
      <c r="H37" s="52"/>
      <c r="I37" s="107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</row>
    <row r="38" spans="1:23" x14ac:dyDescent="0.35">
      <c r="A38" s="34"/>
      <c r="B38" s="30">
        <v>19</v>
      </c>
      <c r="C38" s="50"/>
      <c r="D38" s="51"/>
      <c r="E38" s="51"/>
      <c r="F38" s="51"/>
      <c r="G38" s="51"/>
      <c r="H38" s="52"/>
      <c r="I38" s="107"/>
      <c r="J38" s="152" t="s">
        <v>57</v>
      </c>
      <c r="K38" s="152"/>
      <c r="L38" s="152"/>
      <c r="M38" s="152"/>
      <c r="N38" s="152"/>
      <c r="O38" s="152"/>
      <c r="P38" s="34"/>
      <c r="Q38" s="34"/>
      <c r="R38" s="34"/>
      <c r="S38" s="34"/>
      <c r="T38" s="34"/>
      <c r="U38" s="34"/>
      <c r="V38" s="34"/>
      <c r="W38" s="34"/>
    </row>
    <row r="39" spans="1:23" x14ac:dyDescent="0.35">
      <c r="A39" s="34"/>
      <c r="B39" s="30">
        <v>20</v>
      </c>
      <c r="C39" s="50"/>
      <c r="D39" s="51"/>
      <c r="E39" s="51"/>
      <c r="F39" s="51"/>
      <c r="G39" s="51"/>
      <c r="H39" s="52"/>
      <c r="I39" s="107"/>
      <c r="J39" s="152"/>
      <c r="K39" s="152"/>
      <c r="L39" s="152"/>
      <c r="M39" s="152"/>
      <c r="N39" s="152"/>
      <c r="O39" s="152"/>
      <c r="P39" s="34"/>
      <c r="Q39" s="34"/>
      <c r="R39" s="34"/>
      <c r="S39" s="34"/>
      <c r="T39" s="34"/>
      <c r="U39" s="34"/>
      <c r="V39" s="34"/>
      <c r="W39" s="34"/>
    </row>
    <row r="40" spans="1:23" ht="15" thickBot="1" x14ac:dyDescent="0.4">
      <c r="A40" s="34"/>
      <c r="B40" s="30">
        <v>21</v>
      </c>
      <c r="C40" s="50"/>
      <c r="D40" s="51"/>
      <c r="E40" s="51"/>
      <c r="F40" s="51"/>
      <c r="G40" s="51"/>
      <c r="H40" s="52"/>
      <c r="I40" s="107"/>
      <c r="J40" s="35"/>
      <c r="K40" s="35"/>
      <c r="L40" s="35"/>
      <c r="M40" s="35"/>
      <c r="N40" s="35"/>
      <c r="O40" s="35"/>
      <c r="P40" s="34"/>
      <c r="Q40" s="34"/>
      <c r="R40" s="34"/>
      <c r="S40" s="34"/>
      <c r="T40" s="34"/>
      <c r="U40" s="34"/>
      <c r="V40" s="34"/>
      <c r="W40" s="34"/>
    </row>
    <row r="41" spans="1:23" ht="15.5" thickTop="1" thickBot="1" x14ac:dyDescent="0.4">
      <c r="A41" s="34"/>
      <c r="B41" s="30">
        <v>22</v>
      </c>
      <c r="C41" s="50"/>
      <c r="D41" s="51"/>
      <c r="E41" s="51"/>
      <c r="F41" s="51"/>
      <c r="G41" s="51"/>
      <c r="H41" s="52"/>
      <c r="I41" s="107"/>
      <c r="J41" s="34"/>
      <c r="K41" s="36" t="s">
        <v>0</v>
      </c>
      <c r="L41" s="36" t="s">
        <v>1</v>
      </c>
      <c r="M41" s="36" t="s">
        <v>2</v>
      </c>
      <c r="N41" s="36" t="s">
        <v>3</v>
      </c>
      <c r="O41" s="34"/>
      <c r="P41" s="34"/>
      <c r="Q41" s="34"/>
      <c r="R41" s="34"/>
      <c r="S41" s="34"/>
      <c r="T41" s="34"/>
      <c r="U41" s="34"/>
      <c r="V41" s="34"/>
      <c r="W41" s="34"/>
    </row>
    <row r="42" spans="1:23" ht="15.5" thickTop="1" thickBot="1" x14ac:dyDescent="0.4">
      <c r="A42" s="34"/>
      <c r="B42" s="30">
        <v>23</v>
      </c>
      <c r="C42" s="50"/>
      <c r="D42" s="51"/>
      <c r="E42" s="51"/>
      <c r="F42" s="51"/>
      <c r="G42" s="51"/>
      <c r="H42" s="52"/>
      <c r="I42" s="107"/>
      <c r="J42" s="34"/>
      <c r="K42" s="21" t="e">
        <f>IF(OR(Template!C3&gt;SetUp!C7,Template!C4&lt;SetUp!C8),"Unacceptable",IF(AND(AND(Template!C3&lt;=SetUp!D7,Template!C4&gt;=SetUp!D8),OR(Template!C5&gt;=SetUp!C12,Template!C6&gt;=SetUp!C13,Template!C7&gt;=SetUp!C14)), "Exceptional", "Fully Successful"))</f>
        <v>#DIV/0!</v>
      </c>
      <c r="L42" s="21" t="e">
        <f>IF(OR(Template!D3&lt;SetUp!E7,Template!D4&gt;SetUp!E8,Template!D5&lt;SetUp!E9),"Unacceptable", IF(AND(AND(Template!D3&gt;=SetUp!F7,Template!D4&lt;=SetUp!F8,Template!D5&gt;=SetUp!F9),OR(Template!D6&gt;=SetUp!E13,Template!D7&gt;=SetUp!E14)), "Exceptional", "Fully Successful"))</f>
        <v>#DIV/0!</v>
      </c>
      <c r="M42" s="21" t="e">
        <f>IF(OR(Template!E3&lt;SetUp!G7,Template!E4&gt;SetUp!G8),"Unacceptable",IF(AND(AND(Template!E3&gt;=SetUp!H7, Template!E4&lt;=SetUp!H8),OR(Template!E5&gt;=SetUp!G12, Template!E6&gt;=SetUp!G13)), "Exceptional", "Fully Successful"))</f>
        <v>#DIV/0!</v>
      </c>
      <c r="N42" s="21" t="e">
        <f>IF(OR(F3&lt;SetUp!I7,Template!F4&gt;SetUp!I11),"Unacceptable",IF(AND(AND(F3&gt;=SetUp!J7,Template!F4&lt;=SetUp!I11),OR(Template!F5&gt;=SetUp!I12,Template!F6&gt;=SetUp!I13,Template!F7&gt;=SetUp!I14)),"Exceptional","Fully Successful"))</f>
        <v>#DIV/0!</v>
      </c>
      <c r="O42" s="34"/>
      <c r="P42" s="34"/>
      <c r="Q42" s="34"/>
      <c r="R42" s="34"/>
      <c r="S42" s="34"/>
      <c r="T42" s="34"/>
      <c r="U42" s="34"/>
      <c r="V42" s="34"/>
      <c r="W42" s="34"/>
    </row>
    <row r="43" spans="1:23" ht="15.5" thickTop="1" thickBot="1" x14ac:dyDescent="0.4">
      <c r="A43" s="34"/>
      <c r="B43" s="30">
        <v>24</v>
      </c>
      <c r="C43" s="50"/>
      <c r="D43" s="51"/>
      <c r="E43" s="51"/>
      <c r="F43" s="51"/>
      <c r="G43" s="51"/>
      <c r="H43" s="52"/>
      <c r="I43" s="107"/>
      <c r="J43" s="34"/>
      <c r="K43" s="21" t="e">
        <f>IF(K42="Exceptional", 10, IF(K42="Fully Successful", 1, 0))</f>
        <v>#DIV/0!</v>
      </c>
      <c r="L43" s="21" t="e">
        <f>IF(L42="Exceptional", 10, IF(L42="Fully Successful", 1, 0))</f>
        <v>#DIV/0!</v>
      </c>
      <c r="M43" s="21" t="e">
        <f>IF(M42="Exceptional", 10, IF(M42="Fully Successful", 1, 0))</f>
        <v>#DIV/0!</v>
      </c>
      <c r="N43" s="21" t="e">
        <f>IF(N42="Exceptional", 10, IF(N42="Fully Successful", 1, 0))</f>
        <v>#DIV/0!</v>
      </c>
      <c r="O43" s="34"/>
      <c r="P43" s="34"/>
      <c r="Q43" s="34"/>
      <c r="R43" s="34"/>
      <c r="S43" s="34"/>
      <c r="T43" s="34"/>
      <c r="U43" s="34"/>
      <c r="V43" s="34"/>
      <c r="W43" s="34"/>
    </row>
    <row r="44" spans="1:23" ht="15.75" customHeight="1" thickTop="1" thickBot="1" x14ac:dyDescent="0.4">
      <c r="A44" s="34"/>
      <c r="B44" s="30">
        <v>25</v>
      </c>
      <c r="C44" s="50"/>
      <c r="D44" s="51"/>
      <c r="E44" s="51"/>
      <c r="F44" s="51"/>
      <c r="G44" s="51"/>
      <c r="H44" s="52"/>
      <c r="I44" s="107"/>
      <c r="J44" s="34"/>
      <c r="K44" s="34"/>
      <c r="L44" s="21" t="e">
        <f>SUM(K43:M43)</f>
        <v>#DIV/0!</v>
      </c>
      <c r="M44" s="21" t="e">
        <f>N43</f>
        <v>#DIV/0!</v>
      </c>
      <c r="N44" s="21" t="e">
        <f>IF(L44+M44=40,"OutStanding",IF(AND(L44&gt;=30,M44&gt;=1),"Excellent",IF(AND(K43&gt;=1,L43&gt;=1,M43&gt;=1,N43&gt;=1),"Fully Successful",IF(AND(K43&gt;=1,L43&gt;=1,M43&gt;=1,N43&lt;1),"Minimally Successful","Unacceptable"))))</f>
        <v>#DIV/0!</v>
      </c>
      <c r="O44" s="34"/>
      <c r="P44" s="34"/>
      <c r="Q44" s="34"/>
      <c r="R44" s="34"/>
      <c r="S44" s="34"/>
      <c r="T44" s="34"/>
      <c r="U44" s="34"/>
      <c r="V44" s="34"/>
      <c r="W44" s="34"/>
    </row>
    <row r="45" spans="1:23" ht="15.5" thickTop="1" thickBot="1" x14ac:dyDescent="0.4">
      <c r="A45" s="34"/>
      <c r="B45" s="37">
        <v>26</v>
      </c>
      <c r="C45" s="53"/>
      <c r="D45" s="54"/>
      <c r="E45" s="54"/>
      <c r="F45" s="54"/>
      <c r="G45" s="54"/>
      <c r="H45" s="55"/>
      <c r="I45" s="107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</row>
    <row r="46" spans="1:23" ht="15.5" thickTop="1" thickBot="1" x14ac:dyDescent="0.4">
      <c r="A46" s="34"/>
      <c r="B46" s="14" t="s">
        <v>23</v>
      </c>
      <c r="C46" s="21">
        <f t="shared" ref="C46:H46" si="3">SUM(C13:C45)</f>
        <v>0</v>
      </c>
      <c r="D46" s="21">
        <f t="shared" si="3"/>
        <v>0</v>
      </c>
      <c r="E46" s="21">
        <f t="shared" si="3"/>
        <v>0</v>
      </c>
      <c r="F46" s="21">
        <f t="shared" si="3"/>
        <v>0</v>
      </c>
      <c r="G46" s="21">
        <f t="shared" si="3"/>
        <v>0</v>
      </c>
      <c r="H46" s="21">
        <f t="shared" si="3"/>
        <v>0</v>
      </c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</row>
    <row r="47" spans="1:23" ht="15.5" thickTop="1" thickBot="1" x14ac:dyDescent="0.4">
      <c r="A47" s="34"/>
      <c r="B47" s="14" t="s">
        <v>26</v>
      </c>
      <c r="C47" s="21">
        <f>C46+D46+E46+F46+G46+H46</f>
        <v>0</v>
      </c>
      <c r="D47" s="153" t="s">
        <v>66</v>
      </c>
      <c r="E47" s="154"/>
      <c r="F47" s="155">
        <f>C46+D46</f>
        <v>0</v>
      </c>
      <c r="G47" s="156"/>
      <c r="H47" s="157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</row>
    <row r="48" spans="1:23" ht="15" thickTop="1" x14ac:dyDescent="0.35">
      <c r="A48" s="34"/>
      <c r="B48" s="34"/>
      <c r="C48" s="75"/>
      <c r="D48" s="75"/>
      <c r="E48" s="75"/>
      <c r="F48" s="75"/>
      <c r="G48" s="75"/>
      <c r="H48" s="75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</row>
    <row r="49" spans="1:23" x14ac:dyDescent="0.35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</row>
    <row r="50" spans="1:23" x14ac:dyDescent="0.35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</row>
    <row r="51" spans="1:23" x14ac:dyDescent="0.35">
      <c r="A51" s="34"/>
      <c r="B51" s="34"/>
      <c r="C51" s="34"/>
      <c r="D51" s="34"/>
      <c r="E51" s="34"/>
      <c r="F51" s="34"/>
      <c r="G51" s="34"/>
      <c r="H51" s="34"/>
      <c r="I51" s="34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4"/>
      <c r="W51" s="34"/>
    </row>
    <row r="52" spans="1:23" x14ac:dyDescent="0.35">
      <c r="A52" s="34"/>
      <c r="B52" s="34"/>
      <c r="C52" s="34"/>
      <c r="D52" s="34"/>
      <c r="E52" s="34"/>
      <c r="F52" s="34"/>
      <c r="G52" s="34"/>
      <c r="H52" s="34"/>
      <c r="I52" s="34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4"/>
      <c r="W52" s="34"/>
    </row>
    <row r="53" spans="1:23" x14ac:dyDescent="0.35">
      <c r="A53" s="34"/>
      <c r="B53" s="34"/>
      <c r="C53" s="34"/>
      <c r="D53" s="34"/>
      <c r="E53" s="34"/>
      <c r="F53" s="34"/>
      <c r="G53" s="34"/>
      <c r="H53" s="34"/>
      <c r="I53" s="34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4"/>
      <c r="W53" s="34"/>
    </row>
    <row r="54" spans="1:23" x14ac:dyDescent="0.35"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</row>
    <row r="55" spans="1:23" x14ac:dyDescent="0.35"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</row>
    <row r="56" spans="1:23" x14ac:dyDescent="0.35"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</row>
    <row r="57" spans="1:23" x14ac:dyDescent="0.35"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</row>
    <row r="58" spans="1:23" x14ac:dyDescent="0.35"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</row>
    <row r="59" spans="1:23" x14ac:dyDescent="0.35"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</row>
    <row r="60" spans="1:23" x14ac:dyDescent="0.35"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</row>
  </sheetData>
  <sheetProtection selectLockedCells="1"/>
  <mergeCells count="23">
    <mergeCell ref="B9:B10"/>
    <mergeCell ref="C9:F10"/>
    <mergeCell ref="D47:E47"/>
    <mergeCell ref="F47:H47"/>
    <mergeCell ref="J38:O39"/>
    <mergeCell ref="I13:I14"/>
    <mergeCell ref="I15:I16"/>
    <mergeCell ref="I17:I19"/>
    <mergeCell ref="I20:I21"/>
    <mergeCell ref="I22:I23"/>
    <mergeCell ref="H2:I2"/>
    <mergeCell ref="K19:K21"/>
    <mergeCell ref="L19:L21"/>
    <mergeCell ref="M19:M21"/>
    <mergeCell ref="T19:T21"/>
    <mergeCell ref="U19:U21"/>
    <mergeCell ref="J19:J21"/>
    <mergeCell ref="R19:R21"/>
    <mergeCell ref="S19:S21"/>
    <mergeCell ref="N19:N21"/>
    <mergeCell ref="O19:O21"/>
    <mergeCell ref="P19:P21"/>
    <mergeCell ref="Q19:Q21"/>
  </mergeCells>
  <conditionalFormatting sqref="C8:F8">
    <cfRule type="containsText" dxfId="118" priority="21" operator="containsText" text="Exceptional">
      <formula>NOT(ISERROR(SEARCH("Exceptional",C8)))</formula>
    </cfRule>
  </conditionalFormatting>
  <conditionalFormatting sqref="C8:F10">
    <cfRule type="containsText" dxfId="117" priority="14" operator="containsText" text="Unacceptable">
      <formula>NOT(ISERROR(SEARCH("Unacceptable",C8)))</formula>
    </cfRule>
    <cfRule type="containsText" dxfId="116" priority="16" operator="containsText" text="Fully Successful">
      <formula>NOT(ISERROR(SEARCH("Fully Successful",C8)))</formula>
    </cfRule>
  </conditionalFormatting>
  <conditionalFormatting sqref="C9:F10">
    <cfRule type="containsText" dxfId="115" priority="15" operator="containsText" text="Minimally Successful">
      <formula>NOT(ISERROR(SEARCH("Minimally Successful",C9)))</formula>
    </cfRule>
    <cfRule type="containsText" dxfId="114" priority="17" operator="containsText" text="Excellent">
      <formula>NOT(ISERROR(SEARCH("Excellent",C9)))</formula>
    </cfRule>
    <cfRule type="containsText" dxfId="113" priority="18" operator="containsText" text="Outstanding">
      <formula>NOT(ISERROR(SEARCH("Outstanding",C9)))</formula>
    </cfRule>
  </conditionalFormatting>
  <conditionalFormatting sqref="E7">
    <cfRule type="cellIs" dxfId="92" priority="66" operator="notEqual">
      <formula>1</formula>
    </cfRule>
  </conditionalFormatting>
  <conditionalFormatting sqref="H3">
    <cfRule type="cellIs" dxfId="80" priority="78" operator="notEqual">
      <formula>1</formula>
    </cfRule>
  </conditionalFormatting>
  <conditionalFormatting sqref="H4">
    <cfRule type="cellIs" dxfId="79" priority="38" operator="notEqual">
      <formula>1</formula>
    </cfRule>
  </conditionalFormatting>
  <conditionalFormatting sqref="H5">
    <cfRule type="cellIs" dxfId="78" priority="77" operator="notEqual">
      <formula>1</formula>
    </cfRule>
  </conditionalFormatting>
  <conditionalFormatting sqref="H6">
    <cfRule type="cellIs" dxfId="77" priority="76" operator="notEqual">
      <formula>1</formula>
    </cfRule>
  </conditionalFormatting>
  <conditionalFormatting sqref="H7">
    <cfRule type="cellIs" dxfId="76" priority="75" operator="notEqual">
      <formula>1</formula>
    </cfRule>
  </conditionalFormatting>
  <conditionalFormatting sqref="H8">
    <cfRule type="cellIs" dxfId="75" priority="74" operator="notEqual">
      <formula>1</formula>
    </cfRule>
  </conditionalFormatting>
  <conditionalFormatting sqref="H9">
    <cfRule type="cellIs" dxfId="74" priority="39" operator="notEqual">
      <formula>1</formula>
    </cfRule>
  </conditionalFormatting>
  <conditionalFormatting sqref="J19">
    <cfRule type="beginsWith" dxfId="73" priority="8" operator="beginsWith" text="Not Fully Successful">
      <formula>LEFT(J19,LEN("Not Fully Successful"))="Not Fully Successful"</formula>
    </cfRule>
    <cfRule type="beginsWith" dxfId="72" priority="7" operator="beginsWith" text="Fully Successful">
      <formula>LEFT(J19,LEN("Fully Successful"))="Fully Successful"</formula>
    </cfRule>
    <cfRule type="containsText" dxfId="71" priority="6" operator="containsText" text="Exceptional">
      <formula>NOT(ISERROR(SEARCH("Exceptional",J19)))</formula>
    </cfRule>
    <cfRule type="containsText" dxfId="70" priority="5" operator="containsText" text="Not Fulfilled">
      <formula>NOT(ISERROR(SEARCH("Not Fulfilled",J19)))</formula>
    </cfRule>
    <cfRule type="beginsWith" dxfId="69" priority="4" operator="beginsWith" text="Fulfilled">
      <formula>LEFT(J19,LEN("Fulfilled"))="Fulfilled"</formula>
    </cfRule>
  </conditionalFormatting>
  <conditionalFormatting sqref="L2 Q2 S2">
    <cfRule type="beginsWith" dxfId="68" priority="9" operator="beginsWith" text="Fulfilled">
      <formula>LEFT(L2,LEN("Fulfilled"))="Fulfilled"</formula>
    </cfRule>
    <cfRule type="beginsWith" dxfId="67" priority="13" operator="beginsWith" text="Not Fully Successful">
      <formula>LEFT(L2,LEN("Not Fully Successful"))="Not Fully Successful"</formula>
    </cfRule>
    <cfRule type="beginsWith" dxfId="66" priority="12" operator="beginsWith" text="Fully Successful">
      <formula>LEFT(L2,LEN("Fully Successful"))="Fully Successful"</formula>
    </cfRule>
    <cfRule type="containsText" dxfId="65" priority="11" operator="containsText" text="Exceptional">
      <formula>NOT(ISERROR(SEARCH("Exceptional",L2)))</formula>
    </cfRule>
    <cfRule type="containsText" dxfId="64" priority="10" operator="containsText" text="Not Fulfilled">
      <formula>NOT(ISERROR(SEARCH("Not Fulfilled",L2)))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08" operator="lessThanOrEqual" id="{D2BC4104-BAD8-4385-90C2-D95D18873C66}">
            <xm:f>SetUp!C7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14:cfRule type="cellIs" priority="107" operator="lessThanOrEqual" id="{8D3F54BC-927B-43CF-9EC4-247E110BC16B}">
            <xm:f>SetUp!D7</xm:f>
            <x14:dxf>
              <font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ellIs" priority="109" operator="greaterThan" id="{E340A40D-76CC-42E9-B925-7980811AB868}">
            <xm:f>SetUp!C7</xm:f>
            <x14:dxf>
              <font>
                <color auto="1"/>
              </font>
              <fill>
                <patternFill>
                  <bgColor rgb="FFFF0000"/>
                </patternFill>
              </fill>
            </x14:dxf>
          </x14:cfRule>
          <xm:sqref>C3</xm:sqref>
        </x14:conditionalFormatting>
        <x14:conditionalFormatting xmlns:xm="http://schemas.microsoft.com/office/excel/2006/main">
          <x14:cfRule type="cellIs" priority="106" operator="lessThan" id="{327152D9-9A0F-4037-9142-0D43286A3FAE}">
            <xm:f>SetUp!C8</xm:f>
            <x14:dxf>
              <font>
                <color auto="1"/>
              </font>
              <fill>
                <patternFill>
                  <bgColor rgb="FFFF0000"/>
                </patternFill>
              </fill>
            </x14:dxf>
          </x14:cfRule>
          <x14:cfRule type="cellIs" priority="105" operator="greaterThanOrEqual" id="{8174AC4C-A4DB-4CC3-B98E-E5A15ACC04F2}">
            <xm:f>SetUp!C8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14:cfRule type="cellIs" priority="104" stopIfTrue="1" operator="greaterThanOrEqual" id="{AB73A07A-AD89-4994-B74E-E25B9A8991B7}">
            <xm:f>SetUp!D8</xm:f>
            <x14:dxf>
              <font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m:sqref>C4</xm:sqref>
        </x14:conditionalFormatting>
        <x14:conditionalFormatting xmlns:xm="http://schemas.microsoft.com/office/excel/2006/main">
          <x14:cfRule type="cellIs" priority="103" operator="lessThan" id="{258EFBF6-C0FD-4BB6-9213-BBD9FC61A1C4}">
            <xm:f>SetUp!C12</xm:f>
            <x14:dxf>
              <font>
                <color theme="1"/>
              </font>
              <fill>
                <patternFill>
                  <bgColor theme="7" tint="0.79998168889431442"/>
                </patternFill>
              </fill>
            </x14:dxf>
          </x14:cfRule>
          <xm:sqref>C5</xm:sqref>
        </x14:conditionalFormatting>
        <x14:conditionalFormatting xmlns:xm="http://schemas.microsoft.com/office/excel/2006/main">
          <x14:cfRule type="cellIs" priority="3" operator="greaterThanOrEqual" id="{0C7B2023-BB21-4083-85AB-2181192E135F}">
            <xm:f>SetUp!C12</xm:f>
            <x14:dxf>
              <font>
                <color theme="0"/>
              </font>
              <fill>
                <patternFill>
                  <bgColor theme="7" tint="-0.24994659260841701"/>
                </patternFill>
              </fill>
            </x14:dxf>
          </x14:cfRule>
          <xm:sqref>C5:C7</xm:sqref>
        </x14:conditionalFormatting>
        <x14:conditionalFormatting xmlns:xm="http://schemas.microsoft.com/office/excel/2006/main">
          <x14:cfRule type="cellIs" priority="30" operator="lessThan" id="{C8171C98-27B8-4BBA-ADAD-06CBC815FF66}">
            <xm:f>SetUp!C13</xm:f>
            <x14:dxf>
              <fill>
                <patternFill>
                  <bgColor theme="7" tint="0.79998168889431442"/>
                </patternFill>
              </fill>
            </x14:dxf>
          </x14:cfRule>
          <xm:sqref>C6:C7</xm:sqref>
        </x14:conditionalFormatting>
        <x14:conditionalFormatting xmlns:xm="http://schemas.microsoft.com/office/excel/2006/main">
          <x14:cfRule type="cellIs" priority="94" operator="lessThan" id="{6612CAC6-8F7C-4358-8114-3057EE81F114}">
            <xm:f>SetUp!E7</xm:f>
            <x14:dxf>
              <fill>
                <patternFill>
                  <bgColor rgb="FFFF0000"/>
                </patternFill>
              </fill>
            </x14:dxf>
          </x14:cfRule>
          <x14:cfRule type="cellIs" priority="93" operator="greaterThanOrEqual" id="{A0BA82CD-46D8-4880-BCCB-9E920887B6F8}">
            <xm:f>SetUp!E7</xm:f>
            <x14:dxf>
              <fill>
                <patternFill>
                  <bgColor theme="9" tint="0.79998168889431442"/>
                </patternFill>
              </fill>
            </x14:dxf>
          </x14:cfRule>
          <x14:cfRule type="cellIs" priority="92" stopIfTrue="1" operator="greaterThanOrEqual" id="{5D8ECFBE-A308-4E83-976F-2441DF5B44C2}">
            <xm:f>SetUp!F7</xm:f>
            <x14:dxf>
              <font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m:sqref>D3 D5</xm:sqref>
        </x14:conditionalFormatting>
        <x14:conditionalFormatting xmlns:xm="http://schemas.microsoft.com/office/excel/2006/main">
          <x14:cfRule type="cellIs" priority="89" operator="greaterThan" id="{D47D1A05-884F-4BBC-99FA-BEEA5A4523D1}">
            <xm:f>SetUp!E8</xm:f>
            <x14:dxf>
              <fill>
                <patternFill>
                  <bgColor rgb="FFFF0000"/>
                </patternFill>
              </fill>
            </x14:dxf>
          </x14:cfRule>
          <x14:cfRule type="cellIs" priority="90" stopIfTrue="1" operator="lessThanOrEqual" id="{DFB815C1-0C6F-45C5-8D87-A50C2708361F}">
            <xm:f>SetUp!F8</xm:f>
            <x14:dxf>
              <font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ellIs" priority="91" operator="lessThanOrEqual" id="{0BEF396A-599E-4604-8B8D-36DD6AF7AB41}">
            <xm:f>SetUp!E8</xm:f>
            <x14:dxf>
              <fill>
                <patternFill>
                  <bgColor theme="9" tint="0.79998168889431442"/>
                </patternFill>
              </fill>
            </x14:dxf>
          </x14:cfRule>
          <xm:sqref>D4</xm:sqref>
        </x14:conditionalFormatting>
        <x14:conditionalFormatting xmlns:xm="http://schemas.microsoft.com/office/excel/2006/main">
          <x14:cfRule type="cellIs" priority="35" operator="lessThan" id="{4A112BDF-E0A9-4DEC-B4E1-927A22663000}">
            <xm:f>SetUp!E13</xm:f>
            <x14:dxf>
              <fill>
                <patternFill>
                  <bgColor theme="7" tint="0.79998168889431442"/>
                </patternFill>
              </fill>
            </x14:dxf>
          </x14:cfRule>
          <x14:cfRule type="cellIs" priority="37" operator="greaterThanOrEqual" id="{F290DE04-4655-42B1-87F2-05AE020C6891}">
            <xm:f>SetUp!E13</xm:f>
            <x14:dxf>
              <font>
                <color theme="0"/>
              </font>
              <fill>
                <patternFill>
                  <bgColor theme="7" tint="-0.24994659260841701"/>
                </patternFill>
              </fill>
            </x14:dxf>
          </x14:cfRule>
          <xm:sqref>D6</xm:sqref>
        </x14:conditionalFormatting>
        <x14:conditionalFormatting xmlns:xm="http://schemas.microsoft.com/office/excel/2006/main">
          <x14:cfRule type="cellIs" priority="28" operator="greaterThanOrEqual" id="{36732370-8ED2-4436-B6F8-1772BA1F4D9B}">
            <xm:f>SetUp!$E$14</xm:f>
            <x14:dxf>
              <font>
                <color theme="0"/>
              </font>
              <fill>
                <patternFill>
                  <bgColor theme="7" tint="-0.24994659260841701"/>
                </patternFill>
              </fill>
            </x14:dxf>
          </x14:cfRule>
          <x14:cfRule type="cellIs" priority="29" operator="lessThan" id="{FEA3A8A3-BFC5-46E1-B141-D4C1E394FDE7}">
            <xm:f>SetUp!$E$14</xm:f>
            <x14:dxf>
              <fill>
                <patternFill>
                  <bgColor theme="7" tint="0.79998168889431442"/>
                </patternFill>
              </fill>
            </x14:dxf>
          </x14:cfRule>
          <xm:sqref>D7</xm:sqref>
        </x14:conditionalFormatting>
        <x14:conditionalFormatting xmlns:xm="http://schemas.microsoft.com/office/excel/2006/main">
          <x14:cfRule type="cellIs" priority="80" stopIfTrue="1" operator="greaterThanOrEqual" id="{F7065545-0AEA-4069-B281-1C5ACFF2AA5A}">
            <xm:f>SetUp!H7</xm:f>
            <x14:dxf>
              <font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ellIs" priority="79" operator="lessThan" id="{EEA1F608-D18D-4F09-A8F7-58E45CE9AD19}">
            <xm:f>SetUp!G7</xm:f>
            <x14:dxf>
              <fill>
                <patternFill>
                  <bgColor rgb="FFFF0000"/>
                </patternFill>
              </fill>
            </x14:dxf>
          </x14:cfRule>
          <x14:cfRule type="cellIs" priority="81" operator="greaterThanOrEqual" id="{9FCD9848-18C8-4451-875B-FA029BF61F27}">
            <xm:f>SetUp!G7</xm:f>
            <x14:dxf>
              <fill>
                <patternFill>
                  <bgColor theme="9" tint="0.79998168889431442"/>
                </patternFill>
              </fill>
            </x14:dxf>
          </x14:cfRule>
          <xm:sqref>E3</xm:sqref>
        </x14:conditionalFormatting>
        <x14:conditionalFormatting xmlns:xm="http://schemas.microsoft.com/office/excel/2006/main">
          <x14:cfRule type="cellIs" priority="73" operator="lessThanOrEqual" id="{A468B24F-4AE5-40B9-BF2C-EE3CC986F447}">
            <xm:f>SetUp!G8</xm:f>
            <x14:dxf>
              <fill>
                <patternFill>
                  <bgColor theme="9" tint="0.79998168889431442"/>
                </patternFill>
              </fill>
            </x14:dxf>
          </x14:cfRule>
          <x14:cfRule type="cellIs" priority="72" operator="lessThanOrEqual" id="{1CC9B0AF-6BDD-41CA-A81A-B3B6FCC55161}">
            <xm:f>SetUp!H8</xm:f>
            <x14:dxf>
              <font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ellIs" priority="71" operator="greaterThan" id="{A1E592E0-FAE3-4D2C-8A40-0E1FAE361334}">
            <xm:f>SetUp!G8</xm:f>
            <x14:dxf>
              <fill>
                <patternFill>
                  <bgColor rgb="FFFF0000"/>
                </patternFill>
              </fill>
            </x14:dxf>
          </x14:cfRule>
          <xm:sqref>E4</xm:sqref>
        </x14:conditionalFormatting>
        <x14:conditionalFormatting xmlns:xm="http://schemas.microsoft.com/office/excel/2006/main">
          <x14:cfRule type="cellIs" priority="68" operator="lessThan" id="{BB8CA9AB-C10B-430F-ACAD-924D1463E0D2}">
            <xm:f>SetUp!G12</xm:f>
            <x14:dxf>
              <fill>
                <patternFill>
                  <bgColor theme="7" tint="0.79998168889431442"/>
                </patternFill>
              </fill>
            </x14:dxf>
          </x14:cfRule>
          <x14:cfRule type="cellIs" priority="34" operator="greaterThanOrEqual" id="{84357F37-23DD-4759-A88D-F0E5E6F7D6CD}">
            <xm:f>SetUp!G12</xm:f>
            <x14:dxf>
              <font>
                <color theme="0"/>
              </font>
              <fill>
                <patternFill>
                  <bgColor theme="7" tint="-0.24994659260841701"/>
                </patternFill>
              </fill>
            </x14:dxf>
          </x14:cfRule>
          <xm:sqref>E5</xm:sqref>
        </x14:conditionalFormatting>
        <x14:conditionalFormatting xmlns:xm="http://schemas.microsoft.com/office/excel/2006/main">
          <x14:cfRule type="cellIs" priority="2" operator="lessThan" id="{0459AE47-5095-4BC6-B99B-146F9571CA60}">
            <xm:f>SetUp!$G$13</xm:f>
            <x14:dxf>
              <fill>
                <patternFill>
                  <bgColor theme="7" tint="0.79998168889431442"/>
                </patternFill>
              </fill>
            </x14:dxf>
          </x14:cfRule>
          <x14:cfRule type="cellIs" priority="1" operator="greaterThanOrEqual" id="{F964C148-33F4-43BE-B97D-14EC9AB2C5D8}">
            <xm:f>SetUp!$G$13</xm:f>
            <x14:dxf>
              <font>
                <color theme="0"/>
              </font>
              <fill>
                <patternFill>
                  <bgColor theme="7" tint="-0.24994659260841701"/>
                </patternFill>
              </fill>
            </x14:dxf>
          </x14:cfRule>
          <xm:sqref>E6</xm:sqref>
        </x14:conditionalFormatting>
        <x14:conditionalFormatting xmlns:xm="http://schemas.microsoft.com/office/excel/2006/main">
          <x14:cfRule type="cellIs" priority="62" operator="lessThan" id="{86DBF051-E6E9-40F1-9869-802EF195E5DC}">
            <xm:f>SetUp!I7</xm:f>
            <x14:dxf>
              <fill>
                <patternFill>
                  <bgColor rgb="FFFF0000"/>
                </patternFill>
              </fill>
            </x14:dxf>
          </x14:cfRule>
          <x14:cfRule type="cellIs" priority="63" operator="equal" id="{63228A37-1D12-4DEB-A1BE-C3AA430B9087}">
            <xm:f>SetUp!J7</xm:f>
            <x14:dxf>
              <font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ellIs" priority="64" operator="greaterThanOrEqual" id="{7C331E5F-C524-4038-AFB3-7D97514EF475}">
            <xm:f>SetUp!I7</xm:f>
            <x14:dxf>
              <fill>
                <patternFill>
                  <bgColor theme="9" tint="0.79998168889431442"/>
                </patternFill>
              </fill>
            </x14:dxf>
          </x14:cfRule>
          <xm:sqref>F3</xm:sqref>
        </x14:conditionalFormatting>
        <x14:conditionalFormatting xmlns:xm="http://schemas.microsoft.com/office/excel/2006/main">
          <x14:cfRule type="cellIs" priority="54" operator="lessThanOrEqual" id="{894A4679-6024-4B4D-AF14-91800E1CF3FD}">
            <xm:f>SetUp!I11</xm:f>
            <x14:dxf>
              <font>
                <color theme="0"/>
              </font>
              <fill>
                <patternFill>
                  <bgColor theme="7" tint="-0.24994659260841701"/>
                </patternFill>
              </fill>
            </x14:dxf>
          </x14:cfRule>
          <x14:cfRule type="cellIs" priority="55" operator="greaterThan" id="{862037CF-EC7A-450E-8155-8E9A782D5261}">
            <xm:f>SetUp!I11</xm:f>
            <x14:dxf>
              <fill>
                <patternFill>
                  <bgColor theme="7" tint="0.79998168889431442"/>
                </patternFill>
              </fill>
            </x14:dxf>
          </x14:cfRule>
          <xm:sqref>F4</xm:sqref>
        </x14:conditionalFormatting>
        <x14:conditionalFormatting xmlns:xm="http://schemas.microsoft.com/office/excel/2006/main">
          <x14:cfRule type="cellIs" priority="26" operator="lessThan" id="{A40A4E87-989C-40BA-BB64-4567F12B3065}">
            <xm:f>SetUp!$I$12</xm:f>
            <x14:dxf>
              <fill>
                <patternFill>
                  <bgColor theme="7" tint="0.79998168889431442"/>
                </patternFill>
              </fill>
            </x14:dxf>
          </x14:cfRule>
          <x14:cfRule type="cellIs" priority="27" operator="greaterThanOrEqual" id="{B9F004BC-B450-4C91-97FA-0B1CC62ABB93}">
            <xm:f>SetUp!$I$12</xm:f>
            <x14:dxf>
              <font>
                <color theme="0"/>
              </font>
              <fill>
                <patternFill>
                  <bgColor theme="7" tint="-0.24994659260841701"/>
                </patternFill>
              </fill>
            </x14:dxf>
          </x14:cfRule>
          <xm:sqref>F5</xm:sqref>
        </x14:conditionalFormatting>
        <x14:conditionalFormatting xmlns:xm="http://schemas.microsoft.com/office/excel/2006/main">
          <x14:cfRule type="cellIs" priority="25" operator="greaterThanOrEqual" id="{C8C11A16-8883-418E-9A0B-C361E6FC1B9E}">
            <xm:f>SetUp!$I$13</xm:f>
            <x14:dxf>
              <font>
                <color theme="0"/>
              </font>
              <fill>
                <patternFill>
                  <bgColor theme="7" tint="-0.24994659260841701"/>
                </patternFill>
              </fill>
            </x14:dxf>
          </x14:cfRule>
          <x14:cfRule type="cellIs" priority="24" operator="lessThan" id="{2A8F984A-072A-4C0D-AD60-7F7F78BB51E6}">
            <xm:f>SetUp!$I$13</xm:f>
            <x14:dxf>
              <fill>
                <patternFill>
                  <bgColor theme="7" tint="0.79998168889431442"/>
                </patternFill>
              </fill>
            </x14:dxf>
          </x14:cfRule>
          <xm:sqref>F6</xm:sqref>
        </x14:conditionalFormatting>
        <x14:conditionalFormatting xmlns:xm="http://schemas.microsoft.com/office/excel/2006/main">
          <x14:cfRule type="cellIs" priority="23" operator="greaterThanOrEqual" id="{D4C81974-57B8-47BC-B68F-F680D018ED45}">
            <xm:f>SetUp!$I$14</xm:f>
            <x14:dxf>
              <font>
                <color theme="0"/>
              </font>
              <fill>
                <patternFill>
                  <bgColor theme="7" tint="-0.24994659260841701"/>
                </patternFill>
              </fill>
            </x14:dxf>
          </x14:cfRule>
          <x14:cfRule type="cellIs" priority="22" operator="lessThan" id="{8F1A1DED-E89D-4941-828C-79BBA7F4E23B}">
            <xm:f>SetUp!$I$14</xm:f>
            <x14:dxf>
              <fill>
                <patternFill>
                  <bgColor theme="7" tint="0.79998168889431442"/>
                </patternFill>
              </fill>
            </x14:dxf>
          </x14:cfRule>
          <xm:sqref>F7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61970-60A9-4F24-B615-446C4F481F8B}">
  <dimension ref="A1:W60"/>
  <sheetViews>
    <sheetView showGridLines="0" topLeftCell="A2" workbookViewId="0">
      <selection activeCell="J14" sqref="J14"/>
    </sheetView>
  </sheetViews>
  <sheetFormatPr defaultColWidth="12" defaultRowHeight="14.5" x14ac:dyDescent="0.35"/>
  <cols>
    <col min="1" max="1" width="4.1796875" style="13" customWidth="1"/>
    <col min="2" max="2" width="11.453125" style="13" customWidth="1"/>
    <col min="3" max="5" width="15.54296875" style="13" bestFit="1" customWidth="1"/>
    <col min="6" max="6" width="14.81640625" style="13" customWidth="1"/>
    <col min="7" max="7" width="7.81640625" style="13" customWidth="1"/>
    <col min="8" max="8" width="6.1796875" style="13" bestFit="1" customWidth="1"/>
    <col min="9" max="9" width="16" style="13" customWidth="1"/>
    <col min="10" max="10" width="8.7265625" style="13" customWidth="1"/>
    <col min="11" max="11" width="13.7265625" style="13" customWidth="1"/>
    <col min="12" max="12" width="14.453125" style="13" customWidth="1"/>
    <col min="13" max="13" width="13.7265625" style="13" customWidth="1"/>
    <col min="14" max="14" width="15.54296875" style="13" customWidth="1"/>
    <col min="15" max="15" width="13.7265625" style="13" customWidth="1"/>
    <col min="16" max="16" width="14.453125" style="13" customWidth="1"/>
    <col min="17" max="17" width="12" style="13" customWidth="1"/>
    <col min="18" max="18" width="15.1796875" style="13" customWidth="1"/>
    <col min="19" max="19" width="12.81640625" style="13" customWidth="1"/>
    <col min="20" max="20" width="10.7265625" style="13" bestFit="1" customWidth="1"/>
    <col min="21" max="21" width="14.26953125" style="13" customWidth="1"/>
    <col min="22" max="22" width="4.453125" style="13" customWidth="1"/>
    <col min="23" max="16384" width="12" style="13"/>
  </cols>
  <sheetData>
    <row r="1" spans="1:23" ht="15" thickBot="1" x14ac:dyDescent="0.4">
      <c r="A1" s="34"/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</row>
    <row r="2" spans="1:23" ht="59" thickTop="1" thickBot="1" x14ac:dyDescent="0.4">
      <c r="A2" s="34"/>
      <c r="B2" s="12"/>
      <c r="C2" s="41" t="s">
        <v>43</v>
      </c>
      <c r="D2" s="42" t="s">
        <v>44</v>
      </c>
      <c r="E2" s="42" t="s">
        <v>45</v>
      </c>
      <c r="F2" s="43" t="s">
        <v>3</v>
      </c>
      <c r="G2" s="34"/>
      <c r="H2" s="133" t="s">
        <v>11</v>
      </c>
      <c r="I2" s="134"/>
      <c r="J2" s="34"/>
      <c r="K2" s="14" t="s">
        <v>21</v>
      </c>
      <c r="L2" s="46" t="s">
        <v>186</v>
      </c>
      <c r="M2" s="97" t="s">
        <v>187</v>
      </c>
      <c r="N2" s="97" t="s">
        <v>189</v>
      </c>
      <c r="O2" s="28" t="s">
        <v>190</v>
      </c>
      <c r="P2" s="97" t="s">
        <v>191</v>
      </c>
      <c r="Q2" s="28" t="s">
        <v>194</v>
      </c>
      <c r="R2" s="28" t="s">
        <v>195</v>
      </c>
      <c r="S2" s="28" t="s">
        <v>198</v>
      </c>
      <c r="T2" s="29" t="s">
        <v>25</v>
      </c>
      <c r="U2" s="34"/>
      <c r="V2" s="34"/>
      <c r="W2" s="34"/>
    </row>
    <row r="3" spans="1:23" ht="15" thickTop="1" x14ac:dyDescent="0.35">
      <c r="A3" s="34"/>
      <c r="B3" s="15" t="s">
        <v>4</v>
      </c>
      <c r="C3" s="60" t="e">
        <f>L16</f>
        <v>#DIV/0!</v>
      </c>
      <c r="D3" s="61" t="e">
        <f>N16</f>
        <v>#DIV/0!</v>
      </c>
      <c r="E3" s="61" t="e">
        <f>Q16</f>
        <v>#DIV/0!</v>
      </c>
      <c r="F3" s="62" t="e">
        <f>S16</f>
        <v>#DIV/0!</v>
      </c>
      <c r="G3" s="39"/>
      <c r="H3" s="16"/>
      <c r="I3" s="17" t="s">
        <v>41</v>
      </c>
      <c r="J3" s="34"/>
      <c r="K3" s="45">
        <v>10</v>
      </c>
      <c r="L3" s="47"/>
      <c r="M3" s="48"/>
      <c r="N3" s="48"/>
      <c r="O3" s="48"/>
      <c r="P3" s="48"/>
      <c r="Q3" s="48"/>
      <c r="R3" s="48"/>
      <c r="S3" s="48"/>
      <c r="T3" s="49"/>
      <c r="U3" s="34"/>
      <c r="V3" s="34"/>
      <c r="W3" s="34"/>
    </row>
    <row r="4" spans="1:23" ht="15" thickBot="1" x14ac:dyDescent="0.4">
      <c r="A4" s="34"/>
      <c r="B4" s="15" t="s">
        <v>5</v>
      </c>
      <c r="C4" s="73" t="e">
        <f>M16</f>
        <v>#DIV/0!</v>
      </c>
      <c r="D4" s="61" t="e">
        <f>O16</f>
        <v>#DIV/0!</v>
      </c>
      <c r="E4" s="74">
        <f>R15</f>
        <v>0</v>
      </c>
      <c r="F4" s="72">
        <f>R34</f>
        <v>0</v>
      </c>
      <c r="G4" s="34"/>
      <c r="H4" s="16"/>
      <c r="I4" s="17" t="s">
        <v>42</v>
      </c>
      <c r="J4" s="34"/>
      <c r="K4" s="18">
        <v>11</v>
      </c>
      <c r="L4" s="50"/>
      <c r="M4" s="51"/>
      <c r="N4" s="51"/>
      <c r="O4" s="51"/>
      <c r="P4" s="51"/>
      <c r="Q4" s="51"/>
      <c r="R4" s="51"/>
      <c r="S4" s="51"/>
      <c r="T4" s="52"/>
      <c r="U4" s="34"/>
      <c r="V4" s="34"/>
      <c r="W4" s="34"/>
    </row>
    <row r="5" spans="1:23" ht="15.5" thickTop="1" thickBot="1" x14ac:dyDescent="0.4">
      <c r="A5" s="34"/>
      <c r="B5" s="15" t="s">
        <v>6</v>
      </c>
      <c r="C5" s="69">
        <f>K34</f>
        <v>0</v>
      </c>
      <c r="D5" s="74" t="e">
        <f>P16</f>
        <v>#DIV/0!</v>
      </c>
      <c r="E5" s="70">
        <f>P34</f>
        <v>0</v>
      </c>
      <c r="F5" s="71">
        <f>S34</f>
        <v>0</v>
      </c>
      <c r="G5" s="34"/>
      <c r="H5" s="16"/>
      <c r="I5" s="17" t="s">
        <v>9</v>
      </c>
      <c r="J5" s="34"/>
      <c r="K5" s="18">
        <v>12</v>
      </c>
      <c r="L5" s="50"/>
      <c r="M5" s="51"/>
      <c r="N5" s="51"/>
      <c r="O5" s="51"/>
      <c r="P5" s="51"/>
      <c r="Q5" s="51"/>
      <c r="R5" s="51"/>
      <c r="S5" s="51"/>
      <c r="T5" s="52"/>
      <c r="U5" s="34"/>
      <c r="V5" s="34"/>
      <c r="W5" s="34"/>
    </row>
    <row r="6" spans="1:23" ht="15" thickTop="1" x14ac:dyDescent="0.35">
      <c r="A6" s="34"/>
      <c r="B6" s="15" t="s">
        <v>7</v>
      </c>
      <c r="C6" s="63">
        <f>L34</f>
        <v>0</v>
      </c>
      <c r="D6" s="70">
        <f>N34</f>
        <v>0</v>
      </c>
      <c r="E6" s="64">
        <f>Q34</f>
        <v>0</v>
      </c>
      <c r="F6" s="65">
        <f>T34</f>
        <v>0</v>
      </c>
      <c r="G6" s="34"/>
      <c r="H6" s="16"/>
      <c r="I6" s="17" t="s">
        <v>10</v>
      </c>
      <c r="J6" s="34"/>
      <c r="K6" s="18">
        <v>1</v>
      </c>
      <c r="L6" s="50"/>
      <c r="M6" s="51"/>
      <c r="N6" s="51"/>
      <c r="O6" s="51"/>
      <c r="P6" s="51"/>
      <c r="Q6" s="51"/>
      <c r="R6" s="51"/>
      <c r="S6" s="51"/>
      <c r="T6" s="52"/>
      <c r="U6" s="34"/>
      <c r="V6" s="34"/>
      <c r="W6" s="34"/>
    </row>
    <row r="7" spans="1:23" ht="15" thickBot="1" x14ac:dyDescent="0.4">
      <c r="A7" s="34"/>
      <c r="B7" s="19" t="s">
        <v>8</v>
      </c>
      <c r="C7" s="66">
        <f>M34</f>
        <v>0</v>
      </c>
      <c r="D7" s="67">
        <f>O34</f>
        <v>0</v>
      </c>
      <c r="E7" s="67"/>
      <c r="F7" s="68">
        <f>U34</f>
        <v>0</v>
      </c>
      <c r="G7" s="34"/>
      <c r="H7" s="16"/>
      <c r="I7" s="17" t="s">
        <v>14</v>
      </c>
      <c r="J7" s="34"/>
      <c r="K7" s="18">
        <v>2</v>
      </c>
      <c r="L7" s="50"/>
      <c r="M7" s="51"/>
      <c r="N7" s="51"/>
      <c r="O7" s="51"/>
      <c r="P7" s="51"/>
      <c r="Q7" s="51"/>
      <c r="R7" s="51"/>
      <c r="S7" s="51"/>
      <c r="T7" s="52"/>
      <c r="U7" s="34"/>
      <c r="V7" s="34"/>
      <c r="W7" s="34"/>
    </row>
    <row r="8" spans="1:23" ht="27" customHeight="1" thickTop="1" thickBot="1" x14ac:dyDescent="0.4">
      <c r="A8" s="34"/>
      <c r="B8" s="20" t="s">
        <v>12</v>
      </c>
      <c r="C8" s="21" t="e">
        <f>K42</f>
        <v>#DIV/0!</v>
      </c>
      <c r="D8" s="21" t="e">
        <f>L42</f>
        <v>#DIV/0!</v>
      </c>
      <c r="E8" s="21" t="e">
        <f>M42</f>
        <v>#DIV/0!</v>
      </c>
      <c r="F8" s="21" t="e">
        <f>N42</f>
        <v>#DIV/0!</v>
      </c>
      <c r="G8" s="34"/>
      <c r="H8" s="22"/>
      <c r="I8" s="23" t="s">
        <v>13</v>
      </c>
      <c r="J8" s="34"/>
      <c r="K8" s="18">
        <v>3</v>
      </c>
      <c r="L8" s="50"/>
      <c r="M8" s="51"/>
      <c r="N8" s="51"/>
      <c r="O8" s="51"/>
      <c r="P8" s="51"/>
      <c r="Q8" s="51"/>
      <c r="R8" s="51"/>
      <c r="S8" s="51"/>
      <c r="T8" s="52"/>
      <c r="U8" s="34"/>
      <c r="V8" s="34"/>
      <c r="W8" s="34"/>
    </row>
    <row r="9" spans="1:23" ht="15" thickTop="1" x14ac:dyDescent="0.35">
      <c r="A9" s="34"/>
      <c r="B9" s="200" t="s">
        <v>31</v>
      </c>
      <c r="C9" s="137" t="e">
        <f>N44</f>
        <v>#DIV/0!</v>
      </c>
      <c r="D9" s="138"/>
      <c r="E9" s="138"/>
      <c r="F9" s="139"/>
      <c r="G9" s="34"/>
      <c r="H9" s="22"/>
      <c r="I9" s="23" t="s">
        <v>40</v>
      </c>
      <c r="J9" s="34"/>
      <c r="K9" s="18">
        <v>4</v>
      </c>
      <c r="L9" s="50"/>
      <c r="M9" s="51"/>
      <c r="N9" s="51"/>
      <c r="O9" s="51"/>
      <c r="P9" s="51"/>
      <c r="Q9" s="51"/>
      <c r="R9" s="51"/>
      <c r="S9" s="51"/>
      <c r="T9" s="52"/>
      <c r="U9" s="34"/>
      <c r="V9" s="34"/>
      <c r="W9" s="34"/>
    </row>
    <row r="10" spans="1:23" ht="15" thickBot="1" x14ac:dyDescent="0.4">
      <c r="A10" s="34"/>
      <c r="B10" s="201"/>
      <c r="C10" s="140"/>
      <c r="D10" s="141"/>
      <c r="E10" s="141"/>
      <c r="F10" s="142"/>
      <c r="G10" s="34"/>
      <c r="H10" s="24" t="s">
        <v>46</v>
      </c>
      <c r="I10" s="25" t="s">
        <v>47</v>
      </c>
      <c r="J10" s="34"/>
      <c r="K10" s="18">
        <v>5</v>
      </c>
      <c r="L10" s="50"/>
      <c r="M10" s="51"/>
      <c r="N10" s="51"/>
      <c r="O10" s="51"/>
      <c r="P10" s="51"/>
      <c r="Q10" s="51"/>
      <c r="R10" s="51"/>
      <c r="S10" s="51"/>
      <c r="T10" s="52"/>
      <c r="U10" s="34"/>
      <c r="V10" s="34"/>
      <c r="W10" s="34"/>
    </row>
    <row r="11" spans="1:23" s="26" customFormat="1" ht="15.5" thickTop="1" thickBot="1" x14ac:dyDescent="0.4">
      <c r="A11" s="34"/>
      <c r="B11" s="34"/>
      <c r="C11" s="40"/>
      <c r="D11" s="40"/>
      <c r="E11" s="40"/>
      <c r="F11" s="40"/>
      <c r="G11" s="34"/>
      <c r="H11" s="34"/>
      <c r="I11" s="34"/>
      <c r="J11" s="34"/>
      <c r="K11" s="18">
        <v>6</v>
      </c>
      <c r="L11" s="50"/>
      <c r="M11" s="51"/>
      <c r="N11" s="51"/>
      <c r="O11" s="51"/>
      <c r="P11" s="51"/>
      <c r="Q11" s="51"/>
      <c r="R11" s="51"/>
      <c r="S11" s="51"/>
      <c r="T11" s="52"/>
      <c r="U11" s="34"/>
      <c r="V11" s="34"/>
      <c r="W11" s="34"/>
    </row>
    <row r="12" spans="1:23" ht="15.5" thickTop="1" thickBot="1" x14ac:dyDescent="0.4">
      <c r="A12" s="34"/>
      <c r="B12" s="14" t="s">
        <v>22</v>
      </c>
      <c r="C12" s="27" t="s">
        <v>15</v>
      </c>
      <c r="D12" s="28" t="s">
        <v>16</v>
      </c>
      <c r="E12" s="28" t="s">
        <v>17</v>
      </c>
      <c r="F12" s="28" t="s">
        <v>18</v>
      </c>
      <c r="G12" s="28" t="s">
        <v>19</v>
      </c>
      <c r="H12" s="29" t="s">
        <v>20</v>
      </c>
      <c r="I12" s="34"/>
      <c r="J12" s="34"/>
      <c r="K12" s="18">
        <v>7</v>
      </c>
      <c r="L12" s="50"/>
      <c r="M12" s="51"/>
      <c r="N12" s="51"/>
      <c r="O12" s="51"/>
      <c r="P12" s="51"/>
      <c r="Q12" s="51"/>
      <c r="R12" s="51"/>
      <c r="S12" s="51"/>
      <c r="T12" s="52"/>
      <c r="U12" s="34"/>
      <c r="V12" s="34"/>
      <c r="W12" s="34"/>
    </row>
    <row r="13" spans="1:23" ht="15" thickTop="1" x14ac:dyDescent="0.35">
      <c r="A13" s="34"/>
      <c r="B13" s="12">
        <v>20</v>
      </c>
      <c r="C13" s="47"/>
      <c r="D13" s="48"/>
      <c r="E13" s="48"/>
      <c r="F13" s="48"/>
      <c r="G13" s="48"/>
      <c r="H13" s="49"/>
      <c r="I13" s="206" t="s">
        <v>205</v>
      </c>
      <c r="J13" s="34"/>
      <c r="K13" s="18">
        <v>8</v>
      </c>
      <c r="L13" s="50"/>
      <c r="M13" s="51"/>
      <c r="N13" s="51"/>
      <c r="O13" s="51"/>
      <c r="P13" s="51"/>
      <c r="Q13" s="51"/>
      <c r="R13" s="51"/>
      <c r="S13" s="51"/>
      <c r="T13" s="52"/>
      <c r="U13" s="34"/>
      <c r="V13" s="34"/>
      <c r="W13" s="34"/>
    </row>
    <row r="14" spans="1:23" ht="15" thickBot="1" x14ac:dyDescent="0.4">
      <c r="A14" s="34"/>
      <c r="B14" s="30">
        <v>21</v>
      </c>
      <c r="C14" s="50"/>
      <c r="D14" s="51"/>
      <c r="E14" s="51"/>
      <c r="F14" s="51"/>
      <c r="G14" s="51"/>
      <c r="H14" s="52"/>
      <c r="I14" s="205"/>
      <c r="J14" s="34"/>
      <c r="K14" s="31">
        <v>9</v>
      </c>
      <c r="L14" s="53"/>
      <c r="M14" s="54"/>
      <c r="N14" s="54"/>
      <c r="O14" s="54"/>
      <c r="P14" s="54"/>
      <c r="Q14" s="54"/>
      <c r="R14" s="54"/>
      <c r="S14" s="54"/>
      <c r="T14" s="55"/>
      <c r="U14" s="34"/>
      <c r="V14" s="34"/>
      <c r="W14" s="34"/>
    </row>
    <row r="15" spans="1:23" ht="17" thickTop="1" thickBot="1" x14ac:dyDescent="0.4">
      <c r="A15" s="34"/>
      <c r="B15" s="30">
        <v>22</v>
      </c>
      <c r="C15" s="50"/>
      <c r="D15" s="51"/>
      <c r="E15" s="51"/>
      <c r="F15" s="51"/>
      <c r="G15" s="51"/>
      <c r="H15" s="52"/>
      <c r="I15" s="203" t="s">
        <v>206</v>
      </c>
      <c r="J15" s="34"/>
      <c r="K15" s="32" t="s">
        <v>23</v>
      </c>
      <c r="L15" s="21">
        <f t="shared" ref="L15:Q15" si="0">SUM(L3:L14)</f>
        <v>0</v>
      </c>
      <c r="M15" s="21">
        <f t="shared" si="0"/>
        <v>0</v>
      </c>
      <c r="N15" s="21">
        <f t="shared" si="0"/>
        <v>0</v>
      </c>
      <c r="O15" s="21">
        <f t="shared" si="0"/>
        <v>0</v>
      </c>
      <c r="P15" s="21">
        <f t="shared" si="0"/>
        <v>0</v>
      </c>
      <c r="Q15" s="21">
        <f t="shared" si="0"/>
        <v>0</v>
      </c>
      <c r="R15" s="21">
        <f t="shared" ref="R15" si="1">SUM(R3:R14)</f>
        <v>0</v>
      </c>
      <c r="S15" s="21">
        <f>SUM(S3:S14)</f>
        <v>0</v>
      </c>
      <c r="T15" s="21">
        <f>SUM(T3:T14)</f>
        <v>0</v>
      </c>
      <c r="U15" s="34"/>
      <c r="V15" s="34"/>
      <c r="W15" s="34"/>
    </row>
    <row r="16" spans="1:23" ht="17" thickTop="1" thickBot="1" x14ac:dyDescent="0.4">
      <c r="A16" s="34"/>
      <c r="B16" s="30">
        <v>23</v>
      </c>
      <c r="C16" s="50"/>
      <c r="D16" s="51"/>
      <c r="E16" s="51"/>
      <c r="F16" s="51"/>
      <c r="G16" s="51"/>
      <c r="H16" s="52"/>
      <c r="I16" s="205"/>
      <c r="J16" s="34"/>
      <c r="K16" s="32" t="s">
        <v>24</v>
      </c>
      <c r="L16" s="59" t="e">
        <f>SUM((L15/Q15)*100)</f>
        <v>#DIV/0!</v>
      </c>
      <c r="M16" s="59" t="e">
        <f>SUM((1-((M15)/Q15))*100)</f>
        <v>#DIV/0!</v>
      </c>
      <c r="N16" s="59" t="e">
        <f>SUM((1-(N15/Q15))*100)</f>
        <v>#DIV/0!</v>
      </c>
      <c r="O16" s="59" t="e">
        <f>SUM(O15/Q15)*100</f>
        <v>#DIV/0!</v>
      </c>
      <c r="P16" s="59" t="e">
        <f>SUM((1-(P15/Q15))*100)</f>
        <v>#DIV/0!</v>
      </c>
      <c r="Q16" s="59" t="e">
        <f>Q15/F47</f>
        <v>#DIV/0!</v>
      </c>
      <c r="R16" s="59"/>
      <c r="S16" s="59" t="e">
        <f>SUM((1-(S15/T15))*100)</f>
        <v>#DIV/0!</v>
      </c>
      <c r="T16" s="59"/>
      <c r="U16" s="34"/>
      <c r="V16" s="34"/>
      <c r="W16" s="34"/>
    </row>
    <row r="17" spans="1:23" ht="25.5" customHeight="1" thickTop="1" thickBot="1" x14ac:dyDescent="0.4">
      <c r="A17" s="34"/>
      <c r="B17" s="30">
        <v>24</v>
      </c>
      <c r="C17" s="50"/>
      <c r="D17" s="51"/>
      <c r="E17" s="51"/>
      <c r="F17" s="51"/>
      <c r="G17" s="51"/>
      <c r="H17" s="52"/>
      <c r="I17" s="203" t="s">
        <v>207</v>
      </c>
      <c r="J17" s="34"/>
      <c r="K17" s="20" t="s">
        <v>69</v>
      </c>
      <c r="L17" s="77" t="s">
        <v>67</v>
      </c>
      <c r="M17" s="77" t="s">
        <v>68</v>
      </c>
      <c r="N17" s="77" t="s">
        <v>73</v>
      </c>
      <c r="O17" s="77" t="s">
        <v>74</v>
      </c>
      <c r="P17" s="77" t="s">
        <v>75</v>
      </c>
      <c r="Q17" s="77" t="s">
        <v>78</v>
      </c>
      <c r="R17" s="77" t="s">
        <v>79</v>
      </c>
      <c r="S17" s="77" t="s">
        <v>82</v>
      </c>
      <c r="T17" s="77"/>
      <c r="U17" s="34"/>
      <c r="V17" s="34"/>
      <c r="W17" s="34"/>
    </row>
    <row r="18" spans="1:23" ht="15.5" thickTop="1" thickBot="1" x14ac:dyDescent="0.4">
      <c r="A18" s="34"/>
      <c r="B18" s="30">
        <v>25</v>
      </c>
      <c r="C18" s="50"/>
      <c r="D18" s="51"/>
      <c r="E18" s="51"/>
      <c r="F18" s="51"/>
      <c r="G18" s="51"/>
      <c r="H18" s="52"/>
      <c r="I18" s="20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</row>
    <row r="19" spans="1:23" ht="19.5" customHeight="1" thickTop="1" x14ac:dyDescent="0.35">
      <c r="A19" s="34"/>
      <c r="B19" s="30">
        <v>26</v>
      </c>
      <c r="C19" s="50"/>
      <c r="D19" s="51"/>
      <c r="E19" s="51"/>
      <c r="F19" s="51"/>
      <c r="G19" s="51"/>
      <c r="H19" s="52"/>
      <c r="I19" s="205"/>
      <c r="J19" s="207" t="s">
        <v>21</v>
      </c>
      <c r="K19" s="146" t="s">
        <v>188</v>
      </c>
      <c r="L19" s="146" t="s">
        <v>202</v>
      </c>
      <c r="M19" s="146" t="s">
        <v>201</v>
      </c>
      <c r="N19" s="146" t="s">
        <v>192</v>
      </c>
      <c r="O19" s="146" t="s">
        <v>193</v>
      </c>
      <c r="P19" s="146" t="s">
        <v>196</v>
      </c>
      <c r="Q19" s="146" t="s">
        <v>197</v>
      </c>
      <c r="R19" s="146" t="s">
        <v>203</v>
      </c>
      <c r="S19" s="146" t="s">
        <v>199</v>
      </c>
      <c r="T19" s="146" t="s">
        <v>204</v>
      </c>
      <c r="U19" s="149" t="s">
        <v>200</v>
      </c>
      <c r="V19" s="34"/>
      <c r="W19" s="34"/>
    </row>
    <row r="20" spans="1:23" ht="20.149999999999999" customHeight="1" x14ac:dyDescent="0.35">
      <c r="A20" s="34"/>
      <c r="B20" s="30">
        <v>1</v>
      </c>
      <c r="C20" s="50"/>
      <c r="D20" s="51"/>
      <c r="E20" s="51"/>
      <c r="F20" s="51"/>
      <c r="G20" s="51"/>
      <c r="H20" s="52"/>
      <c r="I20" s="203" t="s">
        <v>208</v>
      </c>
      <c r="J20" s="208"/>
      <c r="K20" s="147"/>
      <c r="L20" s="147"/>
      <c r="M20" s="147"/>
      <c r="N20" s="147"/>
      <c r="O20" s="147"/>
      <c r="P20" s="147"/>
      <c r="Q20" s="147"/>
      <c r="R20" s="147"/>
      <c r="S20" s="147"/>
      <c r="T20" s="147"/>
      <c r="U20" s="150"/>
      <c r="V20" s="34"/>
      <c r="W20" s="34"/>
    </row>
    <row r="21" spans="1:23" ht="20.5" customHeight="1" thickBot="1" x14ac:dyDescent="0.4">
      <c r="A21" s="34"/>
      <c r="B21" s="30">
        <v>2</v>
      </c>
      <c r="C21" s="50"/>
      <c r="D21" s="51"/>
      <c r="E21" s="51"/>
      <c r="F21" s="51"/>
      <c r="G21" s="51"/>
      <c r="H21" s="52"/>
      <c r="I21" s="205"/>
      <c r="J21" s="209"/>
      <c r="K21" s="148"/>
      <c r="L21" s="148"/>
      <c r="M21" s="148"/>
      <c r="N21" s="148"/>
      <c r="O21" s="148"/>
      <c r="P21" s="148"/>
      <c r="Q21" s="148"/>
      <c r="R21" s="148"/>
      <c r="S21" s="148"/>
      <c r="T21" s="148"/>
      <c r="U21" s="151"/>
      <c r="V21" s="34"/>
      <c r="W21" s="34"/>
    </row>
    <row r="22" spans="1:23" ht="15" thickTop="1" x14ac:dyDescent="0.35">
      <c r="A22" s="34"/>
      <c r="B22" s="30">
        <v>3</v>
      </c>
      <c r="C22" s="50"/>
      <c r="D22" s="51"/>
      <c r="E22" s="51"/>
      <c r="F22" s="51"/>
      <c r="G22" s="51"/>
      <c r="H22" s="52"/>
      <c r="I22" s="203" t="s">
        <v>209</v>
      </c>
      <c r="J22" s="99">
        <v>10</v>
      </c>
      <c r="K22" s="56"/>
      <c r="L22" s="48"/>
      <c r="M22" s="48"/>
      <c r="N22" s="48"/>
      <c r="O22" s="48"/>
      <c r="P22" s="48"/>
      <c r="Q22" s="48"/>
      <c r="R22" s="48"/>
      <c r="S22" s="48"/>
      <c r="T22" s="48"/>
      <c r="U22" s="49"/>
      <c r="V22" s="34"/>
      <c r="W22" s="34"/>
    </row>
    <row r="23" spans="1:23" x14ac:dyDescent="0.35">
      <c r="A23" s="34"/>
      <c r="B23" s="30">
        <v>4</v>
      </c>
      <c r="C23" s="50"/>
      <c r="D23" s="51"/>
      <c r="E23" s="51"/>
      <c r="F23" s="51"/>
      <c r="G23" s="51"/>
      <c r="H23" s="52"/>
      <c r="I23" s="205"/>
      <c r="J23" s="100">
        <v>11</v>
      </c>
      <c r="K23" s="57"/>
      <c r="L23" s="51"/>
      <c r="M23" s="51"/>
      <c r="N23" s="51"/>
      <c r="O23" s="51"/>
      <c r="P23" s="51"/>
      <c r="Q23" s="51"/>
      <c r="R23" s="51"/>
      <c r="S23" s="51"/>
      <c r="T23" s="51"/>
      <c r="U23" s="52"/>
      <c r="V23" s="34"/>
      <c r="W23" s="34"/>
    </row>
    <row r="24" spans="1:23" x14ac:dyDescent="0.35">
      <c r="A24" s="34"/>
      <c r="B24" s="30">
        <v>5</v>
      </c>
      <c r="C24" s="50"/>
      <c r="D24" s="51"/>
      <c r="E24" s="51"/>
      <c r="F24" s="51"/>
      <c r="G24" s="51"/>
      <c r="H24" s="52"/>
      <c r="I24" s="104"/>
      <c r="J24" s="100">
        <v>12</v>
      </c>
      <c r="K24" s="57"/>
      <c r="L24" s="51"/>
      <c r="M24" s="51"/>
      <c r="N24" s="51"/>
      <c r="O24" s="51"/>
      <c r="P24" s="51"/>
      <c r="Q24" s="51"/>
      <c r="R24" s="51"/>
      <c r="S24" s="51"/>
      <c r="T24" s="51"/>
      <c r="U24" s="52"/>
      <c r="V24" s="34"/>
      <c r="W24" s="34"/>
    </row>
    <row r="25" spans="1:23" x14ac:dyDescent="0.35">
      <c r="A25" s="34"/>
      <c r="B25" s="30">
        <v>6</v>
      </c>
      <c r="C25" s="50"/>
      <c r="D25" s="51"/>
      <c r="E25" s="51"/>
      <c r="F25" s="51"/>
      <c r="G25" s="51"/>
      <c r="H25" s="52"/>
      <c r="I25" s="104"/>
      <c r="J25" s="100">
        <v>1</v>
      </c>
      <c r="K25" s="57"/>
      <c r="L25" s="51"/>
      <c r="M25" s="51"/>
      <c r="N25" s="51"/>
      <c r="O25" s="51"/>
      <c r="P25" s="51"/>
      <c r="Q25" s="51"/>
      <c r="R25" s="98"/>
      <c r="S25" s="51"/>
      <c r="T25" s="51"/>
      <c r="U25" s="52"/>
      <c r="V25" s="34"/>
      <c r="W25" s="34"/>
    </row>
    <row r="26" spans="1:23" x14ac:dyDescent="0.35">
      <c r="A26" s="34"/>
      <c r="B26" s="30">
        <v>7</v>
      </c>
      <c r="C26" s="50"/>
      <c r="D26" s="51"/>
      <c r="E26" s="51"/>
      <c r="F26" s="51"/>
      <c r="G26" s="51"/>
      <c r="H26" s="52"/>
      <c r="I26" s="104"/>
      <c r="J26" s="100">
        <v>2</v>
      </c>
      <c r="K26" s="57"/>
      <c r="L26" s="51"/>
      <c r="M26" s="51"/>
      <c r="N26" s="51"/>
      <c r="O26" s="51"/>
      <c r="P26" s="51"/>
      <c r="Q26" s="51"/>
      <c r="R26" s="51"/>
      <c r="S26" s="51"/>
      <c r="T26" s="51"/>
      <c r="U26" s="52"/>
      <c r="V26" s="34"/>
      <c r="W26" s="34"/>
    </row>
    <row r="27" spans="1:23" x14ac:dyDescent="0.35">
      <c r="A27" s="34"/>
      <c r="B27" s="30">
        <v>8</v>
      </c>
      <c r="C27" s="50"/>
      <c r="D27" s="51"/>
      <c r="E27" s="51"/>
      <c r="F27" s="51"/>
      <c r="G27" s="51"/>
      <c r="H27" s="52"/>
      <c r="I27" s="104"/>
      <c r="J27" s="100">
        <v>3</v>
      </c>
      <c r="K27" s="57"/>
      <c r="L27" s="51"/>
      <c r="M27" s="51"/>
      <c r="N27" s="51"/>
      <c r="O27" s="51"/>
      <c r="P27" s="51"/>
      <c r="Q27" s="51"/>
      <c r="R27" s="51"/>
      <c r="S27" s="51"/>
      <c r="T27" s="51"/>
      <c r="U27" s="52"/>
      <c r="V27" s="34"/>
      <c r="W27" s="34"/>
    </row>
    <row r="28" spans="1:23" x14ac:dyDescent="0.35">
      <c r="A28" s="34"/>
      <c r="B28" s="30">
        <v>9</v>
      </c>
      <c r="C28" s="50"/>
      <c r="D28" s="51"/>
      <c r="E28" s="51"/>
      <c r="F28" s="51"/>
      <c r="G28" s="51"/>
      <c r="H28" s="52"/>
      <c r="I28" s="104"/>
      <c r="J28" s="100">
        <v>4</v>
      </c>
      <c r="K28" s="57"/>
      <c r="L28" s="51"/>
      <c r="M28" s="51"/>
      <c r="N28" s="51"/>
      <c r="O28" s="51"/>
      <c r="P28" s="51"/>
      <c r="Q28" s="51"/>
      <c r="R28" s="51"/>
      <c r="S28" s="51"/>
      <c r="T28" s="51"/>
      <c r="U28" s="52"/>
      <c r="V28" s="34"/>
      <c r="W28" s="34"/>
    </row>
    <row r="29" spans="1:23" x14ac:dyDescent="0.35">
      <c r="A29" s="34"/>
      <c r="B29" s="30">
        <v>10</v>
      </c>
      <c r="C29" s="50"/>
      <c r="D29" s="51"/>
      <c r="E29" s="51"/>
      <c r="F29" s="51"/>
      <c r="G29" s="51"/>
      <c r="H29" s="52"/>
      <c r="I29" s="104"/>
      <c r="J29" s="100">
        <v>5</v>
      </c>
      <c r="K29" s="57"/>
      <c r="L29" s="51"/>
      <c r="M29" s="51"/>
      <c r="N29" s="51"/>
      <c r="O29" s="51"/>
      <c r="P29" s="51"/>
      <c r="Q29" s="51"/>
      <c r="R29" s="51"/>
      <c r="S29" s="51"/>
      <c r="T29" s="51"/>
      <c r="U29" s="52"/>
      <c r="V29" s="34"/>
      <c r="W29" s="34"/>
    </row>
    <row r="30" spans="1:23" x14ac:dyDescent="0.35">
      <c r="A30" s="34"/>
      <c r="B30" s="30">
        <v>11</v>
      </c>
      <c r="C30" s="50"/>
      <c r="D30" s="51"/>
      <c r="E30" s="51"/>
      <c r="F30" s="51"/>
      <c r="G30" s="51"/>
      <c r="H30" s="52"/>
      <c r="I30" s="104"/>
      <c r="J30" s="100">
        <v>6</v>
      </c>
      <c r="K30" s="57"/>
      <c r="L30" s="51"/>
      <c r="M30" s="51"/>
      <c r="N30" s="51"/>
      <c r="O30" s="51"/>
      <c r="P30" s="51"/>
      <c r="Q30" s="51"/>
      <c r="R30" s="51"/>
      <c r="S30" s="51"/>
      <c r="T30" s="51"/>
      <c r="U30" s="52"/>
      <c r="V30" s="34"/>
      <c r="W30" s="34"/>
    </row>
    <row r="31" spans="1:23" x14ac:dyDescent="0.35">
      <c r="A31" s="34"/>
      <c r="B31" s="30">
        <v>12</v>
      </c>
      <c r="C31" s="50"/>
      <c r="D31" s="51"/>
      <c r="E31" s="51"/>
      <c r="F31" s="51"/>
      <c r="G31" s="51"/>
      <c r="H31" s="52"/>
      <c r="I31" s="104"/>
      <c r="J31" s="100">
        <v>7</v>
      </c>
      <c r="K31" s="57"/>
      <c r="L31" s="51"/>
      <c r="M31" s="51"/>
      <c r="N31" s="51"/>
      <c r="O31" s="51"/>
      <c r="P31" s="51"/>
      <c r="Q31" s="51"/>
      <c r="R31" s="51"/>
      <c r="S31" s="51"/>
      <c r="T31" s="51"/>
      <c r="U31" s="52"/>
      <c r="V31" s="34"/>
      <c r="W31" s="34"/>
    </row>
    <row r="32" spans="1:23" x14ac:dyDescent="0.35">
      <c r="A32" s="34"/>
      <c r="B32" s="30">
        <v>13</v>
      </c>
      <c r="C32" s="50"/>
      <c r="D32" s="51"/>
      <c r="E32" s="51"/>
      <c r="F32" s="51"/>
      <c r="G32" s="51"/>
      <c r="H32" s="52"/>
      <c r="I32" s="104"/>
      <c r="J32" s="100">
        <v>8</v>
      </c>
      <c r="K32" s="57"/>
      <c r="L32" s="51"/>
      <c r="M32" s="51"/>
      <c r="N32" s="51"/>
      <c r="O32" s="51"/>
      <c r="P32" s="51"/>
      <c r="Q32" s="51"/>
      <c r="R32" s="51"/>
      <c r="S32" s="51"/>
      <c r="T32" s="51"/>
      <c r="U32" s="52"/>
      <c r="V32" s="34"/>
      <c r="W32" s="34"/>
    </row>
    <row r="33" spans="1:23" ht="15" thickBot="1" x14ac:dyDescent="0.4">
      <c r="A33" s="34"/>
      <c r="B33" s="30">
        <v>14</v>
      </c>
      <c r="C33" s="50"/>
      <c r="D33" s="51"/>
      <c r="E33" s="51"/>
      <c r="F33" s="51"/>
      <c r="G33" s="51"/>
      <c r="H33" s="52"/>
      <c r="I33" s="104"/>
      <c r="J33" s="101">
        <v>9</v>
      </c>
      <c r="K33" s="58"/>
      <c r="L33" s="54"/>
      <c r="M33" s="54"/>
      <c r="N33" s="54"/>
      <c r="O33" s="54"/>
      <c r="P33" s="54"/>
      <c r="Q33" s="54"/>
      <c r="R33" s="54"/>
      <c r="S33" s="54"/>
      <c r="T33" s="54"/>
      <c r="U33" s="55"/>
      <c r="V33" s="34"/>
      <c r="W33" s="34"/>
    </row>
    <row r="34" spans="1:23" ht="17" thickTop="1" thickBot="1" x14ac:dyDescent="0.4">
      <c r="A34" s="34"/>
      <c r="B34" s="30">
        <v>15</v>
      </c>
      <c r="C34" s="50"/>
      <c r="D34" s="51"/>
      <c r="E34" s="51"/>
      <c r="F34" s="51"/>
      <c r="G34" s="51"/>
      <c r="H34" s="52"/>
      <c r="I34" s="104"/>
      <c r="J34" s="102" t="s">
        <v>23</v>
      </c>
      <c r="K34" s="33">
        <f t="shared" ref="K34:U34" si="2">SUM(K22:K33)</f>
        <v>0</v>
      </c>
      <c r="L34" s="33">
        <f t="shared" si="2"/>
        <v>0</v>
      </c>
      <c r="M34" s="33">
        <f t="shared" si="2"/>
        <v>0</v>
      </c>
      <c r="N34" s="33">
        <f t="shared" si="2"/>
        <v>0</v>
      </c>
      <c r="O34" s="33">
        <f t="shared" si="2"/>
        <v>0</v>
      </c>
      <c r="P34" s="33">
        <f t="shared" si="2"/>
        <v>0</v>
      </c>
      <c r="Q34" s="33">
        <f t="shared" si="2"/>
        <v>0</v>
      </c>
      <c r="R34" s="33">
        <f t="shared" si="2"/>
        <v>0</v>
      </c>
      <c r="S34" s="33">
        <f t="shared" si="2"/>
        <v>0</v>
      </c>
      <c r="T34" s="33">
        <f t="shared" si="2"/>
        <v>0</v>
      </c>
      <c r="U34" s="21">
        <f t="shared" si="2"/>
        <v>0</v>
      </c>
      <c r="V34" s="34"/>
      <c r="W34" s="34"/>
    </row>
    <row r="35" spans="1:23" ht="25" thickTop="1" thickBot="1" x14ac:dyDescent="0.4">
      <c r="A35" s="34"/>
      <c r="B35" s="30">
        <v>16</v>
      </c>
      <c r="C35" s="50"/>
      <c r="D35" s="51"/>
      <c r="E35" s="51"/>
      <c r="F35" s="51"/>
      <c r="G35" s="51"/>
      <c r="H35" s="52"/>
      <c r="I35" s="104"/>
      <c r="J35" s="103" t="s">
        <v>69</v>
      </c>
      <c r="K35" s="77" t="s">
        <v>70</v>
      </c>
      <c r="L35" s="77" t="s">
        <v>71</v>
      </c>
      <c r="M35" s="77" t="s">
        <v>72</v>
      </c>
      <c r="N35" s="77" t="s">
        <v>76</v>
      </c>
      <c r="O35" s="77" t="s">
        <v>77</v>
      </c>
      <c r="P35" s="77" t="s">
        <v>80</v>
      </c>
      <c r="Q35" s="77" t="s">
        <v>81</v>
      </c>
      <c r="R35" s="77" t="s">
        <v>83</v>
      </c>
      <c r="S35" s="77" t="s">
        <v>84</v>
      </c>
      <c r="T35" s="77" t="s">
        <v>85</v>
      </c>
      <c r="U35" s="77" t="s">
        <v>86</v>
      </c>
      <c r="V35" s="34"/>
      <c r="W35" s="34"/>
    </row>
    <row r="36" spans="1:23" ht="15" thickTop="1" x14ac:dyDescent="0.35">
      <c r="A36" s="34"/>
      <c r="B36" s="30">
        <v>17</v>
      </c>
      <c r="C36" s="50"/>
      <c r="D36" s="51"/>
      <c r="E36" s="51"/>
      <c r="F36" s="51"/>
      <c r="G36" s="51"/>
      <c r="H36" s="52"/>
      <c r="I36" s="10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</row>
    <row r="37" spans="1:23" x14ac:dyDescent="0.35">
      <c r="A37" s="34"/>
      <c r="B37" s="30">
        <v>18</v>
      </c>
      <c r="C37" s="50"/>
      <c r="D37" s="51"/>
      <c r="E37" s="51"/>
      <c r="F37" s="51"/>
      <c r="G37" s="51"/>
      <c r="H37" s="52"/>
      <c r="I37" s="10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</row>
    <row r="38" spans="1:23" x14ac:dyDescent="0.35">
      <c r="A38" s="34"/>
      <c r="B38" s="30">
        <v>19</v>
      </c>
      <c r="C38" s="50"/>
      <c r="D38" s="51"/>
      <c r="E38" s="51"/>
      <c r="F38" s="51"/>
      <c r="G38" s="51"/>
      <c r="H38" s="52"/>
      <c r="I38" s="104"/>
      <c r="J38" s="152" t="s">
        <v>57</v>
      </c>
      <c r="K38" s="152"/>
      <c r="L38" s="152"/>
      <c r="M38" s="152"/>
      <c r="N38" s="152"/>
      <c r="O38" s="152"/>
      <c r="P38" s="34"/>
      <c r="Q38" s="34"/>
      <c r="R38" s="34"/>
      <c r="S38" s="34"/>
      <c r="T38" s="34"/>
      <c r="U38" s="34"/>
      <c r="V38" s="34"/>
      <c r="W38" s="34"/>
    </row>
    <row r="39" spans="1:23" x14ac:dyDescent="0.35">
      <c r="A39" s="34"/>
      <c r="B39" s="30">
        <v>20</v>
      </c>
      <c r="C39" s="50"/>
      <c r="D39" s="51"/>
      <c r="E39" s="51"/>
      <c r="F39" s="51"/>
      <c r="G39" s="51"/>
      <c r="H39" s="52"/>
      <c r="I39" s="104"/>
      <c r="J39" s="152"/>
      <c r="K39" s="152"/>
      <c r="L39" s="152"/>
      <c r="M39" s="152"/>
      <c r="N39" s="152"/>
      <c r="O39" s="152"/>
      <c r="P39" s="34"/>
      <c r="Q39" s="34"/>
      <c r="R39" s="34"/>
      <c r="S39" s="34"/>
      <c r="T39" s="34"/>
      <c r="U39" s="34"/>
      <c r="V39" s="34"/>
      <c r="W39" s="34"/>
    </row>
    <row r="40" spans="1:23" ht="15" thickBot="1" x14ac:dyDescent="0.4">
      <c r="A40" s="34"/>
      <c r="B40" s="30">
        <v>21</v>
      </c>
      <c r="C40" s="50"/>
      <c r="D40" s="51"/>
      <c r="E40" s="51"/>
      <c r="F40" s="51"/>
      <c r="G40" s="51"/>
      <c r="H40" s="52"/>
      <c r="I40" s="104"/>
      <c r="J40" s="35"/>
      <c r="K40" s="35"/>
      <c r="L40" s="35"/>
      <c r="M40" s="35"/>
      <c r="N40" s="35"/>
      <c r="O40" s="35"/>
      <c r="P40" s="34"/>
      <c r="Q40" s="34"/>
      <c r="R40" s="34"/>
      <c r="S40" s="34"/>
      <c r="T40" s="34"/>
      <c r="U40" s="34"/>
      <c r="V40" s="34"/>
      <c r="W40" s="34"/>
    </row>
    <row r="41" spans="1:23" ht="15.5" thickTop="1" thickBot="1" x14ac:dyDescent="0.4">
      <c r="A41" s="34"/>
      <c r="B41" s="30">
        <v>22</v>
      </c>
      <c r="C41" s="50"/>
      <c r="D41" s="51"/>
      <c r="E41" s="51"/>
      <c r="F41" s="51"/>
      <c r="G41" s="51"/>
      <c r="H41" s="52"/>
      <c r="I41" s="104"/>
      <c r="J41" s="34"/>
      <c r="K41" s="36" t="s">
        <v>0</v>
      </c>
      <c r="L41" s="36" t="s">
        <v>1</v>
      </c>
      <c r="M41" s="36" t="s">
        <v>2</v>
      </c>
      <c r="N41" s="36" t="s">
        <v>3</v>
      </c>
      <c r="O41" s="34"/>
      <c r="P41" s="34"/>
      <c r="Q41" s="34"/>
      <c r="R41" s="34"/>
      <c r="S41" s="34"/>
      <c r="T41" s="34"/>
      <c r="U41" s="34"/>
      <c r="V41" s="34"/>
      <c r="W41" s="34"/>
    </row>
    <row r="42" spans="1:23" ht="15.5" thickTop="1" thickBot="1" x14ac:dyDescent="0.4">
      <c r="A42" s="34"/>
      <c r="B42" s="30">
        <v>23</v>
      </c>
      <c r="C42" s="50"/>
      <c r="D42" s="51"/>
      <c r="E42" s="51"/>
      <c r="F42" s="51"/>
      <c r="G42" s="51"/>
      <c r="H42" s="52"/>
      <c r="I42" s="104"/>
      <c r="J42" s="34"/>
      <c r="K42" s="21" t="e">
        <f>IF(OR('Template (2)'!C3&gt;SetUp!C7,'Template (2)'!C4&lt;SetUp!C8),"Unacceptable",IF(AND(AND('Template (2)'!C3&lt;=SetUp!D7,'Template (2)'!C4&gt;=SetUp!D8),OR('Template (2)'!C5&gt;=SetUp!C12,'Template (2)'!C6&gt;=SetUp!C13,'Template (2)'!C7&gt;=SetUp!C14)), "Exceptional", "Fully Successful"))</f>
        <v>#DIV/0!</v>
      </c>
      <c r="L42" s="21" t="e">
        <f>IF(OR('Template (2)'!D3&lt;SetUp!E7,'Template (2)'!D4&gt;SetUp!E8,'Template (2)'!D5&lt;SetUp!E9),"Unacceptable", IF(AND(AND('Template (2)'!D3&gt;=SetUp!F7,'Template (2)'!D4&lt;=SetUp!F8,'Template (2)'!D5&gt;=SetUp!F9),OR('Template (2)'!D6&gt;=SetUp!E13,'Template (2)'!D7&gt;=SetUp!E14)), "Exceptional", "Fully Successful"))</f>
        <v>#DIV/0!</v>
      </c>
      <c r="M42" s="21" t="e">
        <f>IF(OR('Template (2)'!E3&lt;SetUp!G7,'Template (2)'!E4&gt;SetUp!G8),"Unacceptable",IF(AND(AND('Template (2)'!E3&gt;=SetUp!H7, 'Template (2)'!E4&lt;=SetUp!H8),OR('Template (2)'!E5&gt;=SetUp!G12, 'Template (2)'!E6&gt;=SetUp!G13)), "Exceptional", "Fully Successful"))</f>
        <v>#DIV/0!</v>
      </c>
      <c r="N42" s="21" t="e">
        <f>IF(OR(F3&lt;SetUp!I7,'Template (2)'!F4&gt;SetUp!I11),"Unacceptable",IF(AND(AND(F3&gt;=SetUp!J7,'Template (2)'!F4&lt;=SetUp!I11),OR('Template (2)'!F5&gt;=SetUp!I12,'Template (2)'!F6&gt;=SetUp!I13,'Template (2)'!F7&gt;=SetUp!I14)),"Exceptional","Fully Successful"))</f>
        <v>#DIV/0!</v>
      </c>
      <c r="O42" s="34"/>
      <c r="P42" s="34"/>
      <c r="Q42" s="34"/>
      <c r="R42" s="34"/>
      <c r="S42" s="34"/>
      <c r="T42" s="34"/>
      <c r="U42" s="34"/>
      <c r="V42" s="34"/>
      <c r="W42" s="34"/>
    </row>
    <row r="43" spans="1:23" ht="15.5" thickTop="1" thickBot="1" x14ac:dyDescent="0.4">
      <c r="A43" s="34"/>
      <c r="B43" s="30">
        <v>24</v>
      </c>
      <c r="C43" s="50"/>
      <c r="D43" s="51"/>
      <c r="E43" s="51"/>
      <c r="F43" s="51"/>
      <c r="G43" s="51"/>
      <c r="H43" s="52"/>
      <c r="I43" s="104"/>
      <c r="J43" s="34"/>
      <c r="K43" s="21" t="e">
        <f>IF(K42="Exceptional", 10, IF(K42="Fully Successful", 1, 0))</f>
        <v>#DIV/0!</v>
      </c>
      <c r="L43" s="21" t="e">
        <f>IF(L42="Exceptional", 10, IF(L42="Fully Successful", 1, 0))</f>
        <v>#DIV/0!</v>
      </c>
      <c r="M43" s="21" t="e">
        <f>IF(M42="Exceptional", 10, IF(M42="Fully Successful", 1, 0))</f>
        <v>#DIV/0!</v>
      </c>
      <c r="N43" s="21" t="e">
        <f>IF(N42="Exceptional", 10, IF(N42="Fully Successful", 1, 0))</f>
        <v>#DIV/0!</v>
      </c>
      <c r="O43" s="34"/>
      <c r="P43" s="34"/>
      <c r="Q43" s="34"/>
      <c r="R43" s="34"/>
      <c r="S43" s="34"/>
      <c r="T43" s="34"/>
      <c r="U43" s="34"/>
      <c r="V43" s="34"/>
      <c r="W43" s="34"/>
    </row>
    <row r="44" spans="1:23" ht="15.75" customHeight="1" thickTop="1" thickBot="1" x14ac:dyDescent="0.4">
      <c r="A44" s="34"/>
      <c r="B44" s="30">
        <v>25</v>
      </c>
      <c r="C44" s="50"/>
      <c r="D44" s="51"/>
      <c r="E44" s="51"/>
      <c r="F44" s="51"/>
      <c r="G44" s="51"/>
      <c r="H44" s="52"/>
      <c r="I44" s="104"/>
      <c r="J44" s="34"/>
      <c r="K44" s="34"/>
      <c r="L44" s="21" t="e">
        <f>SUM(K43:M43)</f>
        <v>#DIV/0!</v>
      </c>
      <c r="M44" s="21" t="e">
        <f>N43</f>
        <v>#DIV/0!</v>
      </c>
      <c r="N44" s="21" t="e">
        <f>IF(L44+M44=40,"OutStanding",IF(AND(L44&gt;=30,M44&gt;=1),"Excellent",IF(AND(K43&gt;=1,L43&gt;=1,M43&gt;=1,N43&gt;=1),"Fully Successful",IF(AND(K43&gt;=1,L43&gt;=1,M43&gt;=1,N43&lt;1),"Minimally Successful","Unacceptable"))))</f>
        <v>#DIV/0!</v>
      </c>
      <c r="O44" s="34"/>
      <c r="P44" s="34"/>
      <c r="Q44" s="34"/>
      <c r="R44" s="34"/>
      <c r="S44" s="34"/>
      <c r="T44" s="34"/>
      <c r="U44" s="34"/>
      <c r="V44" s="34"/>
      <c r="W44" s="34"/>
    </row>
    <row r="45" spans="1:23" ht="15.5" thickTop="1" thickBot="1" x14ac:dyDescent="0.4">
      <c r="A45" s="34"/>
      <c r="B45" s="37">
        <v>26</v>
      </c>
      <c r="C45" s="53"/>
      <c r="D45" s="54"/>
      <c r="E45" s="54"/>
      <c r="F45" s="54"/>
      <c r="G45" s="54"/>
      <c r="H45" s="55"/>
      <c r="I45" s="105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</row>
    <row r="46" spans="1:23" ht="15.5" thickTop="1" thickBot="1" x14ac:dyDescent="0.4">
      <c r="A46" s="34"/>
      <c r="B46" s="14" t="s">
        <v>23</v>
      </c>
      <c r="C46" s="21">
        <f t="shared" ref="C46:H46" si="3">SUM(C13:C45)</f>
        <v>0</v>
      </c>
      <c r="D46" s="21">
        <f t="shared" si="3"/>
        <v>0</v>
      </c>
      <c r="E46" s="21">
        <f t="shared" si="3"/>
        <v>0</v>
      </c>
      <c r="F46" s="21">
        <f t="shared" si="3"/>
        <v>0</v>
      </c>
      <c r="G46" s="21">
        <f t="shared" si="3"/>
        <v>0</v>
      </c>
      <c r="H46" s="21">
        <f t="shared" si="3"/>
        <v>0</v>
      </c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</row>
    <row r="47" spans="1:23" ht="15.5" thickTop="1" thickBot="1" x14ac:dyDescent="0.4">
      <c r="A47" s="34"/>
      <c r="B47" s="14" t="s">
        <v>26</v>
      </c>
      <c r="C47" s="21">
        <f>C46+D46+E46+F46+G46+H46</f>
        <v>0</v>
      </c>
      <c r="D47" s="153" t="s">
        <v>66</v>
      </c>
      <c r="E47" s="154"/>
      <c r="F47" s="155">
        <f>C46+D46</f>
        <v>0</v>
      </c>
      <c r="G47" s="156"/>
      <c r="H47" s="157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</row>
    <row r="48" spans="1:23" ht="15" thickTop="1" x14ac:dyDescent="0.35">
      <c r="A48" s="34"/>
      <c r="B48" s="34"/>
      <c r="C48" s="75"/>
      <c r="D48" s="75"/>
      <c r="E48" s="75"/>
      <c r="F48" s="75"/>
      <c r="G48" s="75"/>
      <c r="H48" s="75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</row>
    <row r="49" spans="1:23" x14ac:dyDescent="0.35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</row>
    <row r="50" spans="1:23" x14ac:dyDescent="0.35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</row>
    <row r="51" spans="1:23" x14ac:dyDescent="0.35">
      <c r="A51" s="34"/>
      <c r="B51" s="34"/>
      <c r="C51" s="34"/>
      <c r="D51" s="34"/>
      <c r="E51" s="34"/>
      <c r="F51" s="34"/>
      <c r="G51" s="34"/>
      <c r="H51" s="34"/>
      <c r="I51" s="34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4"/>
      <c r="W51" s="34"/>
    </row>
    <row r="52" spans="1:23" x14ac:dyDescent="0.35">
      <c r="A52" s="34"/>
      <c r="B52" s="34"/>
      <c r="C52" s="34"/>
      <c r="D52" s="34"/>
      <c r="E52" s="34"/>
      <c r="F52" s="34"/>
      <c r="G52" s="34"/>
      <c r="H52" s="34"/>
      <c r="I52" s="34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4"/>
      <c r="W52" s="34"/>
    </row>
    <row r="53" spans="1:23" x14ac:dyDescent="0.35">
      <c r="A53" s="34"/>
      <c r="B53" s="34"/>
      <c r="C53" s="34"/>
      <c r="D53" s="34"/>
      <c r="E53" s="34"/>
      <c r="F53" s="34"/>
      <c r="G53" s="34"/>
      <c r="H53" s="34"/>
      <c r="I53" s="34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4"/>
      <c r="W53" s="34"/>
    </row>
    <row r="54" spans="1:23" x14ac:dyDescent="0.35"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</row>
    <row r="55" spans="1:23" x14ac:dyDescent="0.35"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</row>
    <row r="56" spans="1:23" x14ac:dyDescent="0.35"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</row>
    <row r="57" spans="1:23" x14ac:dyDescent="0.35"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</row>
    <row r="58" spans="1:23" x14ac:dyDescent="0.35"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</row>
    <row r="59" spans="1:23" x14ac:dyDescent="0.35"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</row>
    <row r="60" spans="1:23" x14ac:dyDescent="0.35"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</row>
  </sheetData>
  <sheetProtection selectLockedCells="1"/>
  <mergeCells count="23">
    <mergeCell ref="I20:I21"/>
    <mergeCell ref="I22:I23"/>
    <mergeCell ref="J38:O39"/>
    <mergeCell ref="D47:E47"/>
    <mergeCell ref="F47:H47"/>
    <mergeCell ref="U19:U21"/>
    <mergeCell ref="J19:J21"/>
    <mergeCell ref="K19:K21"/>
    <mergeCell ref="L19:L21"/>
    <mergeCell ref="M19:M21"/>
    <mergeCell ref="N19:N21"/>
    <mergeCell ref="O19:O21"/>
    <mergeCell ref="P19:P21"/>
    <mergeCell ref="Q19:Q21"/>
    <mergeCell ref="R19:R21"/>
    <mergeCell ref="S19:S21"/>
    <mergeCell ref="T19:T21"/>
    <mergeCell ref="I17:I19"/>
    <mergeCell ref="H2:I2"/>
    <mergeCell ref="B9:B10"/>
    <mergeCell ref="C9:F10"/>
    <mergeCell ref="I13:I14"/>
    <mergeCell ref="I15:I16"/>
  </mergeCells>
  <conditionalFormatting sqref="C8:F8">
    <cfRule type="containsText" dxfId="54" priority="19" operator="containsText" text="Exceptional">
      <formula>NOT(ISERROR(SEARCH("Exceptional",C8)))</formula>
    </cfRule>
  </conditionalFormatting>
  <conditionalFormatting sqref="C8:F10">
    <cfRule type="containsText" dxfId="53" priority="14" operator="containsText" text="Unacceptable">
      <formula>NOT(ISERROR(SEARCH("Unacceptable",C8)))</formula>
    </cfRule>
    <cfRule type="containsText" dxfId="52" priority="16" operator="containsText" text="Fully Successful">
      <formula>NOT(ISERROR(SEARCH("Fully Successful",C8)))</formula>
    </cfRule>
  </conditionalFormatting>
  <conditionalFormatting sqref="C9:F10">
    <cfRule type="containsText" dxfId="51" priority="15" operator="containsText" text="Minimally Successful">
      <formula>NOT(ISERROR(SEARCH("Minimally Successful",C9)))</formula>
    </cfRule>
    <cfRule type="containsText" dxfId="50" priority="17" operator="containsText" text="Excellent">
      <formula>NOT(ISERROR(SEARCH("Excellent",C9)))</formula>
    </cfRule>
    <cfRule type="containsText" dxfId="49" priority="18" operator="containsText" text="Outstanding">
      <formula>NOT(ISERROR(SEARCH("Outstanding",C9)))</formula>
    </cfRule>
  </conditionalFormatting>
  <conditionalFormatting sqref="E7">
    <cfRule type="cellIs" dxfId="28" priority="39" operator="notEqual">
      <formula>1</formula>
    </cfRule>
  </conditionalFormatting>
  <conditionalFormatting sqref="H3">
    <cfRule type="cellIs" dxfId="16" priority="48" operator="notEqual">
      <formula>1</formula>
    </cfRule>
  </conditionalFormatting>
  <conditionalFormatting sqref="H4">
    <cfRule type="cellIs" dxfId="15" priority="32" operator="notEqual">
      <formula>1</formula>
    </cfRule>
  </conditionalFormatting>
  <conditionalFormatting sqref="H5">
    <cfRule type="cellIs" dxfId="14" priority="47" operator="notEqual">
      <formula>1</formula>
    </cfRule>
  </conditionalFormatting>
  <conditionalFormatting sqref="H6">
    <cfRule type="cellIs" dxfId="13" priority="46" operator="notEqual">
      <formula>1</formula>
    </cfRule>
  </conditionalFormatting>
  <conditionalFormatting sqref="H7">
    <cfRule type="cellIs" dxfId="12" priority="45" operator="notEqual">
      <formula>1</formula>
    </cfRule>
  </conditionalFormatting>
  <conditionalFormatting sqref="H8">
    <cfRule type="cellIs" dxfId="11" priority="44" operator="notEqual">
      <formula>1</formula>
    </cfRule>
  </conditionalFormatting>
  <conditionalFormatting sqref="H9">
    <cfRule type="cellIs" dxfId="10" priority="33" operator="notEqual">
      <formula>1</formula>
    </cfRule>
  </conditionalFormatting>
  <conditionalFormatting sqref="J19">
    <cfRule type="beginsWith" dxfId="9" priority="8" operator="beginsWith" text="Not Fully Successful">
      <formula>LEFT(J19,LEN("Not Fully Successful"))="Not Fully Successful"</formula>
    </cfRule>
    <cfRule type="beginsWith" dxfId="8" priority="7" operator="beginsWith" text="Fully Successful">
      <formula>LEFT(J19,LEN("Fully Successful"))="Fully Successful"</formula>
    </cfRule>
    <cfRule type="containsText" dxfId="7" priority="6" operator="containsText" text="Exceptional">
      <formula>NOT(ISERROR(SEARCH("Exceptional",J19)))</formula>
    </cfRule>
    <cfRule type="containsText" dxfId="6" priority="5" operator="containsText" text="Not Fulfilled">
      <formula>NOT(ISERROR(SEARCH("Not Fulfilled",J19)))</formula>
    </cfRule>
    <cfRule type="beginsWith" dxfId="5" priority="4" operator="beginsWith" text="Fulfilled">
      <formula>LEFT(J19,LEN("Fulfilled"))="Fulfilled"</formula>
    </cfRule>
  </conditionalFormatting>
  <conditionalFormatting sqref="L2 Q2 S2">
    <cfRule type="beginsWith" dxfId="4" priority="9" operator="beginsWith" text="Fulfilled">
      <formula>LEFT(L2,LEN("Fulfilled"))="Fulfilled"</formula>
    </cfRule>
    <cfRule type="beginsWith" dxfId="3" priority="13" operator="beginsWith" text="Not Fully Successful">
      <formula>LEFT(L2,LEN("Not Fully Successful"))="Not Fully Successful"</formula>
    </cfRule>
    <cfRule type="beginsWith" dxfId="2" priority="12" operator="beginsWith" text="Fully Successful">
      <formula>LEFT(L2,LEN("Fully Successful"))="Fully Successful"</formula>
    </cfRule>
    <cfRule type="containsText" dxfId="1" priority="11" operator="containsText" text="Exceptional">
      <formula>NOT(ISERROR(SEARCH("Exceptional",L2)))</formula>
    </cfRule>
    <cfRule type="containsText" dxfId="0" priority="10" operator="containsText" text="Not Fulfilled">
      <formula>NOT(ISERROR(SEARCH("Not Fulfilled",L2)))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63" operator="lessThanOrEqual" id="{9854A44F-E3A5-49C1-8D48-EA69844A81F1}">
            <xm:f>SetUp!C7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14:cfRule type="cellIs" priority="62" operator="lessThanOrEqual" id="{6B321F0B-AFBE-4BF5-8BEB-976F785EB057}">
            <xm:f>SetUp!D7</xm:f>
            <x14:dxf>
              <font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ellIs" priority="64" operator="greaterThan" id="{EFC4C867-E41D-4D31-864F-17AFC5885B7D}">
            <xm:f>SetUp!C7</xm:f>
            <x14:dxf>
              <font>
                <color auto="1"/>
              </font>
              <fill>
                <patternFill>
                  <bgColor rgb="FFFF0000"/>
                </patternFill>
              </fill>
            </x14:dxf>
          </x14:cfRule>
          <xm:sqref>C3</xm:sqref>
        </x14:conditionalFormatting>
        <x14:conditionalFormatting xmlns:xm="http://schemas.microsoft.com/office/excel/2006/main">
          <x14:cfRule type="cellIs" priority="61" operator="lessThan" id="{EE1CB17E-1724-429B-BC52-6349CF5F5288}">
            <xm:f>SetUp!C8</xm:f>
            <x14:dxf>
              <font>
                <color auto="1"/>
              </font>
              <fill>
                <patternFill>
                  <bgColor rgb="FFFF0000"/>
                </patternFill>
              </fill>
            </x14:dxf>
          </x14:cfRule>
          <x14:cfRule type="cellIs" priority="60" operator="greaterThanOrEqual" id="{6FA55774-D057-49CF-A6B9-2D90DD56CF73}">
            <xm:f>SetUp!C8</xm:f>
            <x14:dxf>
              <font>
                <color auto="1"/>
              </font>
              <fill>
                <patternFill>
                  <bgColor theme="9" tint="0.79998168889431442"/>
                </patternFill>
              </fill>
            </x14:dxf>
          </x14:cfRule>
          <x14:cfRule type="cellIs" priority="59" stopIfTrue="1" operator="greaterThanOrEqual" id="{000D86B1-34D3-48DC-B643-17A7D15CC476}">
            <xm:f>SetUp!D8</xm:f>
            <x14:dxf>
              <font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m:sqref>C4</xm:sqref>
        </x14:conditionalFormatting>
        <x14:conditionalFormatting xmlns:xm="http://schemas.microsoft.com/office/excel/2006/main">
          <x14:cfRule type="cellIs" priority="58" operator="lessThan" id="{E7397DC0-2772-48D2-AD9A-F13C32BF41D8}">
            <xm:f>SetUp!C12</xm:f>
            <x14:dxf>
              <font>
                <color theme="1"/>
              </font>
              <fill>
                <patternFill>
                  <bgColor theme="7" tint="0.79998168889431442"/>
                </patternFill>
              </fill>
            </x14:dxf>
          </x14:cfRule>
          <xm:sqref>C5</xm:sqref>
        </x14:conditionalFormatting>
        <x14:conditionalFormatting xmlns:xm="http://schemas.microsoft.com/office/excel/2006/main">
          <x14:cfRule type="cellIs" priority="3" operator="greaterThanOrEqual" id="{C5F0B288-1D85-4B23-AFC9-2248AD06BAED}">
            <xm:f>SetUp!C12</xm:f>
            <x14:dxf>
              <font>
                <color theme="0"/>
              </font>
              <fill>
                <patternFill>
                  <bgColor theme="7" tint="-0.24994659260841701"/>
                </patternFill>
              </fill>
            </x14:dxf>
          </x14:cfRule>
          <xm:sqref>C5:C7</xm:sqref>
        </x14:conditionalFormatting>
        <x14:conditionalFormatting xmlns:xm="http://schemas.microsoft.com/office/excel/2006/main">
          <x14:cfRule type="cellIs" priority="28" operator="lessThan" id="{65521511-D08C-404B-9192-7DEA55C02696}">
            <xm:f>SetUp!C13</xm:f>
            <x14:dxf>
              <fill>
                <patternFill>
                  <bgColor theme="7" tint="0.79998168889431442"/>
                </patternFill>
              </fill>
            </x14:dxf>
          </x14:cfRule>
          <xm:sqref>C6:C7</xm:sqref>
        </x14:conditionalFormatting>
        <x14:conditionalFormatting xmlns:xm="http://schemas.microsoft.com/office/excel/2006/main">
          <x14:cfRule type="cellIs" priority="57" operator="lessThan" id="{9C787CAF-A3FE-4F1C-B321-5D547482CA55}">
            <xm:f>SetUp!E7</xm:f>
            <x14:dxf>
              <fill>
                <patternFill>
                  <bgColor rgb="FFFF0000"/>
                </patternFill>
              </fill>
            </x14:dxf>
          </x14:cfRule>
          <x14:cfRule type="cellIs" priority="56" operator="greaterThanOrEqual" id="{5F745DE7-FBE5-4E36-B7E8-F04FF751DD80}">
            <xm:f>SetUp!E7</xm:f>
            <x14:dxf>
              <fill>
                <patternFill>
                  <bgColor theme="9" tint="0.79998168889431442"/>
                </patternFill>
              </fill>
            </x14:dxf>
          </x14:cfRule>
          <x14:cfRule type="cellIs" priority="55" stopIfTrue="1" operator="greaterThanOrEqual" id="{7FB89EBB-358F-4C7B-874A-2CAB116C21AB}">
            <xm:f>SetUp!F7</xm:f>
            <x14:dxf>
              <font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m:sqref>D3 D5</xm:sqref>
        </x14:conditionalFormatting>
        <x14:conditionalFormatting xmlns:xm="http://schemas.microsoft.com/office/excel/2006/main">
          <x14:cfRule type="cellIs" priority="52" operator="greaterThan" id="{1F0B0A28-B1BD-4562-996C-97688E426D9E}">
            <xm:f>SetUp!E8</xm:f>
            <x14:dxf>
              <fill>
                <patternFill>
                  <bgColor rgb="FFFF0000"/>
                </patternFill>
              </fill>
            </x14:dxf>
          </x14:cfRule>
          <x14:cfRule type="cellIs" priority="53" stopIfTrue="1" operator="lessThanOrEqual" id="{AC4FAF3A-2B7E-4FEE-A0D0-D281A3E555BC}">
            <xm:f>SetUp!F8</xm:f>
            <x14:dxf>
              <font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ellIs" priority="54" operator="lessThanOrEqual" id="{D21BCC84-EF52-40A6-A289-47680F06BBCD}">
            <xm:f>SetUp!E8</xm:f>
            <x14:dxf>
              <fill>
                <patternFill>
                  <bgColor theme="9" tint="0.79998168889431442"/>
                </patternFill>
              </fill>
            </x14:dxf>
          </x14:cfRule>
          <xm:sqref>D4</xm:sqref>
        </x14:conditionalFormatting>
        <x14:conditionalFormatting xmlns:xm="http://schemas.microsoft.com/office/excel/2006/main">
          <x14:cfRule type="cellIs" priority="30" operator="lessThan" id="{C332989E-22EA-4014-977D-BF3D4CFACAB6}">
            <xm:f>SetUp!E13</xm:f>
            <x14:dxf>
              <fill>
                <patternFill>
                  <bgColor theme="7" tint="0.79998168889431442"/>
                </patternFill>
              </fill>
            </x14:dxf>
          </x14:cfRule>
          <x14:cfRule type="cellIs" priority="31" operator="greaterThanOrEqual" id="{97464D69-8927-4970-B549-D533F6696100}">
            <xm:f>SetUp!E13</xm:f>
            <x14:dxf>
              <font>
                <color theme="0"/>
              </font>
              <fill>
                <patternFill>
                  <bgColor theme="7" tint="-0.24994659260841701"/>
                </patternFill>
              </fill>
            </x14:dxf>
          </x14:cfRule>
          <xm:sqref>D6</xm:sqref>
        </x14:conditionalFormatting>
        <x14:conditionalFormatting xmlns:xm="http://schemas.microsoft.com/office/excel/2006/main">
          <x14:cfRule type="cellIs" priority="26" operator="greaterThanOrEqual" id="{AA6B4A2B-D979-4C09-B594-CF5293AE17DF}">
            <xm:f>SetUp!$E$14</xm:f>
            <x14:dxf>
              <font>
                <color theme="0"/>
              </font>
              <fill>
                <patternFill>
                  <bgColor theme="7" tint="-0.24994659260841701"/>
                </patternFill>
              </fill>
            </x14:dxf>
          </x14:cfRule>
          <x14:cfRule type="cellIs" priority="27" operator="lessThan" id="{A6C9DEAB-91C5-484D-8F14-AF385B90A0B7}">
            <xm:f>SetUp!$E$14</xm:f>
            <x14:dxf>
              <fill>
                <patternFill>
                  <bgColor theme="7" tint="0.79998168889431442"/>
                </patternFill>
              </fill>
            </x14:dxf>
          </x14:cfRule>
          <xm:sqref>D7</xm:sqref>
        </x14:conditionalFormatting>
        <x14:conditionalFormatting xmlns:xm="http://schemas.microsoft.com/office/excel/2006/main">
          <x14:cfRule type="cellIs" priority="50" stopIfTrue="1" operator="greaterThanOrEqual" id="{F3604DBA-277D-465F-822B-FB95691F4BC4}">
            <xm:f>SetUp!H7</xm:f>
            <x14:dxf>
              <font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ellIs" priority="49" operator="lessThan" id="{A51B81FD-01D0-4A3F-81A3-1D66A11BA1E0}">
            <xm:f>SetUp!G7</xm:f>
            <x14:dxf>
              <fill>
                <patternFill>
                  <bgColor rgb="FFFF0000"/>
                </patternFill>
              </fill>
            </x14:dxf>
          </x14:cfRule>
          <x14:cfRule type="cellIs" priority="51" operator="greaterThanOrEqual" id="{5129A9CA-C2D4-4F1A-B25E-02F1BFDB31D1}">
            <xm:f>SetUp!G7</xm:f>
            <x14:dxf>
              <fill>
                <patternFill>
                  <bgColor theme="9" tint="0.79998168889431442"/>
                </patternFill>
              </fill>
            </x14:dxf>
          </x14:cfRule>
          <xm:sqref>E3</xm:sqref>
        </x14:conditionalFormatting>
        <x14:conditionalFormatting xmlns:xm="http://schemas.microsoft.com/office/excel/2006/main">
          <x14:cfRule type="cellIs" priority="43" operator="lessThanOrEqual" id="{20B154F8-B581-411C-99CB-34E0B6904BB8}">
            <xm:f>SetUp!G8</xm:f>
            <x14:dxf>
              <fill>
                <patternFill>
                  <bgColor theme="9" tint="0.79998168889431442"/>
                </patternFill>
              </fill>
            </x14:dxf>
          </x14:cfRule>
          <x14:cfRule type="cellIs" priority="42" operator="lessThanOrEqual" id="{7F926721-4760-4038-BC82-EE26F957D5C5}">
            <xm:f>SetUp!H8</xm:f>
            <x14:dxf>
              <font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ellIs" priority="41" operator="greaterThan" id="{1C30C6C2-B399-456B-8BFE-1ABE6DDE3FEF}">
            <xm:f>SetUp!G8</xm:f>
            <x14:dxf>
              <fill>
                <patternFill>
                  <bgColor rgb="FFFF0000"/>
                </patternFill>
              </fill>
            </x14:dxf>
          </x14:cfRule>
          <xm:sqref>E4</xm:sqref>
        </x14:conditionalFormatting>
        <x14:conditionalFormatting xmlns:xm="http://schemas.microsoft.com/office/excel/2006/main">
          <x14:cfRule type="cellIs" priority="40" operator="lessThan" id="{F7AF53C9-3196-4E35-909A-64E2F69447EF}">
            <xm:f>SetUp!G12</xm:f>
            <x14:dxf>
              <fill>
                <patternFill>
                  <bgColor theme="7" tint="0.79998168889431442"/>
                </patternFill>
              </fill>
            </x14:dxf>
          </x14:cfRule>
          <x14:cfRule type="cellIs" priority="29" operator="greaterThanOrEqual" id="{93314F20-B1F1-4527-B223-3370F2D6C666}">
            <xm:f>SetUp!G12</xm:f>
            <x14:dxf>
              <font>
                <color theme="0"/>
              </font>
              <fill>
                <patternFill>
                  <bgColor theme="7" tint="-0.24994659260841701"/>
                </patternFill>
              </fill>
            </x14:dxf>
          </x14:cfRule>
          <xm:sqref>E5</xm:sqref>
        </x14:conditionalFormatting>
        <x14:conditionalFormatting xmlns:xm="http://schemas.microsoft.com/office/excel/2006/main">
          <x14:cfRule type="cellIs" priority="2" operator="lessThan" id="{77396C4E-070A-4B7E-9ED4-8F48D18EB1B6}">
            <xm:f>SetUp!$G$13</xm:f>
            <x14:dxf>
              <fill>
                <patternFill>
                  <bgColor theme="7" tint="0.79998168889431442"/>
                </patternFill>
              </fill>
            </x14:dxf>
          </x14:cfRule>
          <x14:cfRule type="cellIs" priority="1" operator="greaterThanOrEqual" id="{24B6E4C1-28C0-4BB0-B1C5-D3BE6027682B}">
            <xm:f>SetUp!$G$13</xm:f>
            <x14:dxf>
              <font>
                <color theme="0"/>
              </font>
              <fill>
                <patternFill>
                  <bgColor theme="7" tint="-0.24994659260841701"/>
                </patternFill>
              </fill>
            </x14:dxf>
          </x14:cfRule>
          <xm:sqref>E6</xm:sqref>
        </x14:conditionalFormatting>
        <x14:conditionalFormatting xmlns:xm="http://schemas.microsoft.com/office/excel/2006/main">
          <x14:cfRule type="cellIs" priority="36" operator="lessThan" id="{76E57833-1F83-4027-B469-386352DA759D}">
            <xm:f>SetUp!I7</xm:f>
            <x14:dxf>
              <fill>
                <patternFill>
                  <bgColor rgb="FFFF0000"/>
                </patternFill>
              </fill>
            </x14:dxf>
          </x14:cfRule>
          <x14:cfRule type="cellIs" priority="37" operator="equal" id="{CE9794C0-BAB9-4662-B40E-50521A06BAF9}">
            <xm:f>SetUp!J7</xm:f>
            <x14:dxf>
              <font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ellIs" priority="38" operator="greaterThanOrEqual" id="{8C8F490B-822F-4DF3-97CF-8D090154F14B}">
            <xm:f>SetUp!I7</xm:f>
            <x14:dxf>
              <fill>
                <patternFill>
                  <bgColor theme="9" tint="0.79998168889431442"/>
                </patternFill>
              </fill>
            </x14:dxf>
          </x14:cfRule>
          <xm:sqref>F3</xm:sqref>
        </x14:conditionalFormatting>
        <x14:conditionalFormatting xmlns:xm="http://schemas.microsoft.com/office/excel/2006/main">
          <x14:cfRule type="cellIs" priority="34" operator="lessThanOrEqual" id="{F991C146-4E5D-45AA-BF8B-C97442E8F900}">
            <xm:f>SetUp!I11</xm:f>
            <x14:dxf>
              <font>
                <color theme="0"/>
              </font>
              <fill>
                <patternFill>
                  <bgColor theme="7" tint="-0.24994659260841701"/>
                </patternFill>
              </fill>
            </x14:dxf>
          </x14:cfRule>
          <x14:cfRule type="cellIs" priority="35" operator="greaterThan" id="{594B34F6-924B-4B88-B6D7-C69DBBD9D122}">
            <xm:f>SetUp!I11</xm:f>
            <x14:dxf>
              <fill>
                <patternFill>
                  <bgColor theme="7" tint="0.79998168889431442"/>
                </patternFill>
              </fill>
            </x14:dxf>
          </x14:cfRule>
          <xm:sqref>F4</xm:sqref>
        </x14:conditionalFormatting>
        <x14:conditionalFormatting xmlns:xm="http://schemas.microsoft.com/office/excel/2006/main">
          <x14:cfRule type="cellIs" priority="24" operator="lessThan" id="{7AAC9986-B81C-4C0D-A727-1DF4CCED291F}">
            <xm:f>SetUp!$I$12</xm:f>
            <x14:dxf>
              <fill>
                <patternFill>
                  <bgColor theme="7" tint="0.79998168889431442"/>
                </patternFill>
              </fill>
            </x14:dxf>
          </x14:cfRule>
          <x14:cfRule type="cellIs" priority="25" operator="greaterThanOrEqual" id="{9FBDBF72-D163-4813-8C66-60099FF43243}">
            <xm:f>SetUp!$I$12</xm:f>
            <x14:dxf>
              <font>
                <color theme="0"/>
              </font>
              <fill>
                <patternFill>
                  <bgColor theme="7" tint="-0.24994659260841701"/>
                </patternFill>
              </fill>
            </x14:dxf>
          </x14:cfRule>
          <xm:sqref>F5</xm:sqref>
        </x14:conditionalFormatting>
        <x14:conditionalFormatting xmlns:xm="http://schemas.microsoft.com/office/excel/2006/main">
          <x14:cfRule type="cellIs" priority="23" operator="greaterThanOrEqual" id="{F3254979-09E3-4BD6-B67A-47F153F6DB80}">
            <xm:f>SetUp!$I$13</xm:f>
            <x14:dxf>
              <font>
                <color theme="0"/>
              </font>
              <fill>
                <patternFill>
                  <bgColor theme="7" tint="-0.24994659260841701"/>
                </patternFill>
              </fill>
            </x14:dxf>
          </x14:cfRule>
          <x14:cfRule type="cellIs" priority="22" operator="lessThan" id="{3BB8DD53-38C3-4511-8623-8B9022059E07}">
            <xm:f>SetUp!$I$13</xm:f>
            <x14:dxf>
              <fill>
                <patternFill>
                  <bgColor theme="7" tint="0.79998168889431442"/>
                </patternFill>
              </fill>
            </x14:dxf>
          </x14:cfRule>
          <xm:sqref>F6</xm:sqref>
        </x14:conditionalFormatting>
        <x14:conditionalFormatting xmlns:xm="http://schemas.microsoft.com/office/excel/2006/main">
          <x14:cfRule type="cellIs" priority="21" operator="greaterThanOrEqual" id="{B2A1834F-6EAC-442A-A40E-0C985AFFDAEF}">
            <xm:f>SetUp!$I$14</xm:f>
            <x14:dxf>
              <font>
                <color theme="0"/>
              </font>
              <fill>
                <patternFill>
                  <bgColor theme="7" tint="-0.24994659260841701"/>
                </patternFill>
              </fill>
            </x14:dxf>
          </x14:cfRule>
          <x14:cfRule type="cellIs" priority="20" operator="lessThan" id="{EA7B2402-875E-4BD9-873B-B25AD588D122}">
            <xm:f>SetUp!$I$14</xm:f>
            <x14:dxf>
              <fill>
                <patternFill>
                  <bgColor theme="7" tint="0.79998168889431442"/>
                </patternFill>
              </fill>
            </x14:dxf>
          </x14:cfRule>
          <xm:sqref>F7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DB730-BFB6-4786-B194-FD8E07FAC8B3}">
  <dimension ref="A1:K14"/>
  <sheetViews>
    <sheetView workbookViewId="0">
      <selection activeCell="M21" sqref="M21"/>
    </sheetView>
  </sheetViews>
  <sheetFormatPr defaultColWidth="10.7265625" defaultRowHeight="14.5" x14ac:dyDescent="0.35"/>
  <sheetData>
    <row r="1" spans="1:11" ht="15.5" thickTop="1" thickBot="1" x14ac:dyDescent="0.4">
      <c r="A1" s="109"/>
      <c r="B1" s="110" t="s">
        <v>210</v>
      </c>
      <c r="C1" s="113" t="s">
        <v>211</v>
      </c>
      <c r="D1" s="111" t="s">
        <v>212</v>
      </c>
      <c r="E1" s="113" t="s">
        <v>213</v>
      </c>
      <c r="F1" s="112" t="s">
        <v>214</v>
      </c>
      <c r="G1" s="114" t="s">
        <v>222</v>
      </c>
      <c r="I1" s="210" t="s">
        <v>223</v>
      </c>
      <c r="J1" s="211"/>
      <c r="K1" s="212"/>
    </row>
    <row r="2" spans="1:11" ht="15.5" thickTop="1" thickBot="1" x14ac:dyDescent="0.4">
      <c r="A2" s="130" t="s">
        <v>205</v>
      </c>
      <c r="B2" s="115">
        <f>SUM('6'!D13:D14)</f>
        <v>1</v>
      </c>
      <c r="C2" s="116">
        <f>SUM('5'!D13:D14)</f>
        <v>1.75</v>
      </c>
      <c r="D2" s="117">
        <f>SUM('1'!D13:D14)</f>
        <v>0</v>
      </c>
      <c r="E2" s="116">
        <f>SUM('2'!D13:D14)</f>
        <v>0.5</v>
      </c>
      <c r="F2" s="118">
        <f>SUM('4'!D13:D14)</f>
        <v>1</v>
      </c>
      <c r="G2" s="119">
        <f t="shared" ref="G2:G13" si="0">SUM(B2:F2)</f>
        <v>4.25</v>
      </c>
      <c r="I2" s="213"/>
      <c r="J2" s="214"/>
      <c r="K2" s="215"/>
    </row>
    <row r="3" spans="1:11" ht="15" thickTop="1" x14ac:dyDescent="0.35">
      <c r="A3" s="104" t="s">
        <v>206</v>
      </c>
      <c r="B3" s="120">
        <f>SUM('6'!D15:D16)</f>
        <v>1.75</v>
      </c>
      <c r="C3" s="121">
        <f>SUM('5'!D15:D16)</f>
        <v>2.75</v>
      </c>
      <c r="D3" s="122">
        <f>SUM('1'!D15:D16)</f>
        <v>0.5</v>
      </c>
      <c r="E3" s="121">
        <f>SUM('2'!D15:D16)</f>
        <v>2</v>
      </c>
      <c r="F3" s="123">
        <f>SUM('4'!D15:D16)</f>
        <v>2.25</v>
      </c>
      <c r="G3" s="124">
        <f t="shared" si="0"/>
        <v>9.25</v>
      </c>
      <c r="I3" s="216">
        <f>SUM(G2:G13)</f>
        <v>31.25</v>
      </c>
      <c r="J3" s="217"/>
      <c r="K3" s="218"/>
    </row>
    <row r="4" spans="1:11" ht="15" thickBot="1" x14ac:dyDescent="0.4">
      <c r="A4" s="104" t="s">
        <v>207</v>
      </c>
      <c r="B4" s="120">
        <f>SUM('6'!D17:D19)</f>
        <v>0</v>
      </c>
      <c r="C4" s="121">
        <f>SUM('5'!D17:D19)</f>
        <v>3.75</v>
      </c>
      <c r="D4" s="122">
        <f>SUM('1'!D17:D19)</f>
        <v>0</v>
      </c>
      <c r="E4" s="121">
        <f>SUM('2'!D17:D19)</f>
        <v>0</v>
      </c>
      <c r="F4" s="123">
        <f>SUM('4'!D17:D19)</f>
        <v>2.25</v>
      </c>
      <c r="G4" s="124">
        <f t="shared" si="0"/>
        <v>6</v>
      </c>
      <c r="I4" s="219"/>
      <c r="J4" s="220"/>
      <c r="K4" s="221"/>
    </row>
    <row r="5" spans="1:11" ht="15" thickTop="1" x14ac:dyDescent="0.35">
      <c r="A5" s="104" t="s">
        <v>208</v>
      </c>
      <c r="B5" s="120">
        <f>SUM('6'!D20:D21)</f>
        <v>0</v>
      </c>
      <c r="C5" s="121">
        <f>SUM('5'!D20:D21)</f>
        <v>3.5</v>
      </c>
      <c r="D5" s="122">
        <f>SUM('1'!D20:D21)</f>
        <v>0</v>
      </c>
      <c r="E5" s="121">
        <f>SUM('2'!D20:D21)</f>
        <v>0</v>
      </c>
      <c r="F5" s="123">
        <f>SUM('4'!D20:D21)</f>
        <v>2.75</v>
      </c>
      <c r="G5" s="124">
        <f t="shared" si="0"/>
        <v>6.25</v>
      </c>
    </row>
    <row r="6" spans="1:11" x14ac:dyDescent="0.35">
      <c r="A6" s="104" t="s">
        <v>209</v>
      </c>
      <c r="B6" s="120">
        <f>SUM('6'!D22:D23)</f>
        <v>0</v>
      </c>
      <c r="C6" s="121">
        <f>SUM('5'!D22:D23)</f>
        <v>4</v>
      </c>
      <c r="D6" s="122">
        <f>SUM('1'!D22:D23)</f>
        <v>0</v>
      </c>
      <c r="E6" s="121">
        <f>SUM('2'!D22:D23)</f>
        <v>0</v>
      </c>
      <c r="F6" s="123">
        <f>SUM('4'!D22:D23)</f>
        <v>1.5</v>
      </c>
      <c r="G6" s="124">
        <f t="shared" si="0"/>
        <v>5.5</v>
      </c>
    </row>
    <row r="7" spans="1:11" x14ac:dyDescent="0.35">
      <c r="A7" s="104" t="s">
        <v>215</v>
      </c>
      <c r="B7" s="120"/>
      <c r="C7" s="121"/>
      <c r="D7" s="122"/>
      <c r="E7" s="121"/>
      <c r="F7" s="123"/>
      <c r="G7" s="124">
        <f t="shared" si="0"/>
        <v>0</v>
      </c>
    </row>
    <row r="8" spans="1:11" x14ac:dyDescent="0.35">
      <c r="A8" s="104" t="s">
        <v>217</v>
      </c>
      <c r="B8" s="120"/>
      <c r="C8" s="121"/>
      <c r="D8" s="122"/>
      <c r="E8" s="121"/>
      <c r="F8" s="123"/>
      <c r="G8" s="124">
        <f t="shared" si="0"/>
        <v>0</v>
      </c>
    </row>
    <row r="9" spans="1:11" x14ac:dyDescent="0.35">
      <c r="A9" s="104" t="s">
        <v>218</v>
      </c>
      <c r="B9" s="120"/>
      <c r="C9" s="121"/>
      <c r="D9" s="122"/>
      <c r="E9" s="121"/>
      <c r="F9" s="123"/>
      <c r="G9" s="124">
        <f t="shared" si="0"/>
        <v>0</v>
      </c>
    </row>
    <row r="10" spans="1:11" x14ac:dyDescent="0.35">
      <c r="A10" s="104" t="s">
        <v>219</v>
      </c>
      <c r="B10" s="120"/>
      <c r="C10" s="121"/>
      <c r="D10" s="122"/>
      <c r="E10" s="121"/>
      <c r="F10" s="123"/>
      <c r="G10" s="124">
        <f t="shared" si="0"/>
        <v>0</v>
      </c>
    </row>
    <row r="11" spans="1:11" x14ac:dyDescent="0.35">
      <c r="A11" s="104" t="s">
        <v>220</v>
      </c>
      <c r="B11" s="120"/>
      <c r="C11" s="121"/>
      <c r="D11" s="122"/>
      <c r="E11" s="121"/>
      <c r="F11" s="123"/>
      <c r="G11" s="124">
        <f t="shared" si="0"/>
        <v>0</v>
      </c>
    </row>
    <row r="12" spans="1:11" x14ac:dyDescent="0.35">
      <c r="A12" s="104" t="s">
        <v>221</v>
      </c>
      <c r="B12" s="120"/>
      <c r="C12" s="121"/>
      <c r="D12" s="122"/>
      <c r="E12" s="121"/>
      <c r="F12" s="123"/>
      <c r="G12" s="124">
        <f t="shared" si="0"/>
        <v>0</v>
      </c>
    </row>
    <row r="13" spans="1:11" ht="15" thickBot="1" x14ac:dyDescent="0.4">
      <c r="A13" s="105" t="s">
        <v>216</v>
      </c>
      <c r="B13" s="125"/>
      <c r="C13" s="126"/>
      <c r="D13" s="127"/>
      <c r="E13" s="126"/>
      <c r="F13" s="128"/>
      <c r="G13" s="129">
        <f t="shared" si="0"/>
        <v>0</v>
      </c>
    </row>
    <row r="14" spans="1:11" ht="15" thickTop="1" x14ac:dyDescent="0.35"/>
  </sheetData>
  <mergeCells count="2">
    <mergeCell ref="I1:K2"/>
    <mergeCell ref="I3:K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CABC8-31EB-43B6-BF90-DD6AFFB90541}">
  <dimension ref="A1:G14"/>
  <sheetViews>
    <sheetView workbookViewId="0">
      <selection sqref="A1:G13"/>
    </sheetView>
  </sheetViews>
  <sheetFormatPr defaultColWidth="10.7265625" defaultRowHeight="14.5" x14ac:dyDescent="0.35"/>
  <sheetData>
    <row r="1" spans="1:7" s="108" customFormat="1" ht="15.5" thickTop="1" thickBot="1" x14ac:dyDescent="0.4">
      <c r="A1" s="106"/>
      <c r="B1" s="110" t="s">
        <v>210</v>
      </c>
      <c r="C1" s="113" t="s">
        <v>211</v>
      </c>
      <c r="D1" s="111" t="s">
        <v>212</v>
      </c>
      <c r="E1" s="113" t="s">
        <v>213</v>
      </c>
      <c r="F1" s="112" t="s">
        <v>214</v>
      </c>
      <c r="G1" s="114" t="s">
        <v>222</v>
      </c>
    </row>
    <row r="2" spans="1:7" ht="15" thickTop="1" x14ac:dyDescent="0.35">
      <c r="A2" s="104" t="s">
        <v>205</v>
      </c>
      <c r="B2" s="115"/>
      <c r="C2" s="116"/>
      <c r="D2" s="117"/>
      <c r="E2" s="116"/>
      <c r="F2" s="118"/>
      <c r="G2" s="119">
        <f>SUM(B2:F2)</f>
        <v>0</v>
      </c>
    </row>
    <row r="3" spans="1:7" x14ac:dyDescent="0.35">
      <c r="A3" s="104" t="s">
        <v>206</v>
      </c>
      <c r="B3" s="120"/>
      <c r="C3" s="121"/>
      <c r="D3" s="122"/>
      <c r="E3" s="121"/>
      <c r="F3" s="123"/>
      <c r="G3" s="124">
        <f t="shared" ref="G3:G13" si="0">SUM(B3:F3)</f>
        <v>0</v>
      </c>
    </row>
    <row r="4" spans="1:7" x14ac:dyDescent="0.35">
      <c r="A4" s="104" t="s">
        <v>207</v>
      </c>
      <c r="B4" s="120"/>
      <c r="C4" s="121"/>
      <c r="D4" s="122"/>
      <c r="E4" s="121"/>
      <c r="F4" s="123"/>
      <c r="G4" s="124">
        <f t="shared" si="0"/>
        <v>0</v>
      </c>
    </row>
    <row r="5" spans="1:7" x14ac:dyDescent="0.35">
      <c r="A5" s="104" t="s">
        <v>208</v>
      </c>
      <c r="B5" s="120"/>
      <c r="C5" s="121"/>
      <c r="D5" s="122"/>
      <c r="E5" s="121"/>
      <c r="F5" s="123"/>
      <c r="G5" s="124">
        <f t="shared" si="0"/>
        <v>0</v>
      </c>
    </row>
    <row r="6" spans="1:7" x14ac:dyDescent="0.35">
      <c r="A6" s="104" t="s">
        <v>209</v>
      </c>
      <c r="B6" s="120"/>
      <c r="C6" s="121"/>
      <c r="D6" s="122"/>
      <c r="E6" s="121"/>
      <c r="F6" s="123"/>
      <c r="G6" s="124">
        <f t="shared" si="0"/>
        <v>0</v>
      </c>
    </row>
    <row r="7" spans="1:7" x14ac:dyDescent="0.35">
      <c r="A7" s="104" t="s">
        <v>215</v>
      </c>
      <c r="B7" s="120"/>
      <c r="C7" s="121"/>
      <c r="D7" s="122"/>
      <c r="E7" s="121"/>
      <c r="F7" s="123"/>
      <c r="G7" s="124">
        <f t="shared" si="0"/>
        <v>0</v>
      </c>
    </row>
    <row r="8" spans="1:7" x14ac:dyDescent="0.35">
      <c r="A8" s="104" t="s">
        <v>217</v>
      </c>
      <c r="B8" s="120"/>
      <c r="C8" s="121"/>
      <c r="D8" s="122"/>
      <c r="E8" s="121"/>
      <c r="F8" s="123"/>
      <c r="G8" s="124">
        <f t="shared" si="0"/>
        <v>0</v>
      </c>
    </row>
    <row r="9" spans="1:7" x14ac:dyDescent="0.35">
      <c r="A9" s="104" t="s">
        <v>218</v>
      </c>
      <c r="B9" s="120"/>
      <c r="C9" s="121"/>
      <c r="D9" s="122"/>
      <c r="E9" s="121"/>
      <c r="F9" s="123"/>
      <c r="G9" s="124">
        <f t="shared" si="0"/>
        <v>0</v>
      </c>
    </row>
    <row r="10" spans="1:7" x14ac:dyDescent="0.35">
      <c r="A10" s="104" t="s">
        <v>219</v>
      </c>
      <c r="B10" s="120"/>
      <c r="C10" s="121"/>
      <c r="D10" s="122"/>
      <c r="E10" s="121"/>
      <c r="F10" s="123"/>
      <c r="G10" s="124">
        <f t="shared" si="0"/>
        <v>0</v>
      </c>
    </row>
    <row r="11" spans="1:7" x14ac:dyDescent="0.35">
      <c r="A11" s="104" t="s">
        <v>220</v>
      </c>
      <c r="B11" s="120"/>
      <c r="C11" s="121"/>
      <c r="D11" s="122"/>
      <c r="E11" s="121"/>
      <c r="F11" s="123"/>
      <c r="G11" s="124">
        <f t="shared" si="0"/>
        <v>0</v>
      </c>
    </row>
    <row r="12" spans="1:7" x14ac:dyDescent="0.35">
      <c r="A12" s="104" t="s">
        <v>221</v>
      </c>
      <c r="B12" s="120"/>
      <c r="C12" s="121"/>
      <c r="D12" s="122"/>
      <c r="E12" s="121"/>
      <c r="F12" s="123"/>
      <c r="G12" s="124">
        <f t="shared" si="0"/>
        <v>0</v>
      </c>
    </row>
    <row r="13" spans="1:7" ht="15" thickBot="1" x14ac:dyDescent="0.4">
      <c r="A13" s="105" t="s">
        <v>216</v>
      </c>
      <c r="B13" s="125"/>
      <c r="C13" s="126"/>
      <c r="D13" s="127"/>
      <c r="E13" s="126"/>
      <c r="F13" s="128"/>
      <c r="G13" s="129">
        <f t="shared" si="0"/>
        <v>0</v>
      </c>
    </row>
    <row r="14" spans="1:7" ht="15" thickTop="1" x14ac:dyDescent="0.35"/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95f1b23-abaf-45ee-821d-b7ab251ab3bf}" enabled="0" method="" siteId="{e95f1b23-abaf-45ee-821d-b7ab251ab3b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VA Strategic Goals </vt:lpstr>
      <vt:lpstr>i Care Values</vt:lpstr>
      <vt:lpstr>SetUp</vt:lpstr>
      <vt:lpstr>Elements and Standards</vt:lpstr>
      <vt:lpstr>1</vt:lpstr>
      <vt:lpstr>2</vt:lpstr>
      <vt:lpstr>3</vt:lpstr>
      <vt:lpstr>4</vt:lpstr>
      <vt:lpstr>5</vt:lpstr>
      <vt:lpstr>6</vt:lpstr>
      <vt:lpstr>Template</vt:lpstr>
      <vt:lpstr>Template (2)</vt:lpstr>
      <vt:lpstr>OT Calc</vt:lpstr>
      <vt:lpstr>CT Calc</vt:lpstr>
    </vt:vector>
  </TitlesOfParts>
  <Company>Dept. of Veterans Affairs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Ferguson, Timothy J.</dc:creator>
  <cp:lastModifiedBy>Ferguson, Timothy J.</cp:lastModifiedBy>
  <dcterms:created xsi:type="dcterms:W3CDTF">2026-01-22T19:19:07Z</dcterms:created>
  <dcterms:modified xsi:type="dcterms:W3CDTF">2026-08-26T21:25:51Z</dcterms:modified>
</cp:coreProperties>
</file>