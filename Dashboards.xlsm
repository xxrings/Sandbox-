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S:\Operative Care\Eye-Supervisors\Dashboard Data\"/>
    </mc:Choice>
  </mc:AlternateContent>
  <xr:revisionPtr revIDLastSave="0" documentId="13_ncr:1_{12208958-FCE3-46F7-A097-D87809F47AAA}" xr6:coauthVersionLast="47" xr6:coauthVersionMax="47" xr10:uidLastSave="{00000000-0000-0000-0000-000000000000}"/>
  <bookViews>
    <workbookView xWindow="28680" yWindow="-120" windowWidth="29040" windowHeight="15720" firstSheet="3" activeTab="4" xr2:uid="{00000000-000D-0000-FFFF-FFFF00000000}"/>
  </bookViews>
  <sheets>
    <sheet name="Dashboard-Ophthalmology" sheetId="1" r:id="rId1"/>
    <sheet name="Dashboard-Optometry" sheetId="2" r:id="rId2"/>
    <sheet name="Portland" sheetId="3" r:id="rId3"/>
    <sheet name="Vancouver" sheetId="4" r:id="rId4"/>
    <sheet name="Salem" sheetId="5" r:id="rId5"/>
    <sheet name="Bend" sheetId="6" r:id="rId6"/>
    <sheet name="Optical" sheetId="7" r:id="rId7"/>
    <sheet name="Nursing" sheetId="8" r:id="rId8"/>
    <sheet name="Weekly Consult Data" sheetId="32" r:id="rId9"/>
    <sheet name="Supervisory" sheetId="9" r:id="rId10"/>
    <sheet name="Optometry" sheetId="10" r:id="rId11"/>
    <sheet name="Ophthalmology" sheetId="11" r:id="rId12"/>
    <sheet name="_Setup" sheetId="12" state="hidden" r:id="rId13"/>
    <sheet name="_Ov_Ophthalmology" sheetId="13" state="hidden" r:id="rId14"/>
    <sheet name="_Ov_Optometry" sheetId="14" state="hidden" r:id="rId15"/>
    <sheet name="_Sys_Portland_Optom" sheetId="15" state="hidden" r:id="rId16"/>
    <sheet name="_Sys_Vancouver_Optom" sheetId="16" state="hidden" r:id="rId17"/>
    <sheet name="_Sys_Salem_Optom" sheetId="17" state="hidden" r:id="rId18"/>
    <sheet name="_Sys_Bend_Optom" sheetId="18" state="hidden" r:id="rId19"/>
    <sheet name="_Dash_Portland_Ophthalmology" sheetId="19" state="hidden" r:id="rId20"/>
    <sheet name="_Dash_Portland_Optometry" sheetId="20" state="hidden" r:id="rId21"/>
    <sheet name="_Dash_Vancouver_Ophthalmology" sheetId="21" state="hidden" r:id="rId22"/>
    <sheet name="_Dash_Vancouver_Optometry" sheetId="22" state="hidden" r:id="rId23"/>
    <sheet name="_Dash_Salem_Ophthalmology" sheetId="23" state="hidden" r:id="rId24"/>
    <sheet name="_Dash_Salem_Optometry" sheetId="24" state="hidden" r:id="rId25"/>
    <sheet name="_Dash_Bend_Ophthalmology" sheetId="25" state="hidden" r:id="rId26"/>
    <sheet name="_Dash_Bend_Optometry" sheetId="26" state="hidden" r:id="rId27"/>
    <sheet name="_Dash_Optical" sheetId="27" state="hidden" r:id="rId28"/>
    <sheet name="_Dash_Optometry" sheetId="28" state="hidden" r:id="rId29"/>
    <sheet name="_Dash_Nursing" sheetId="29" state="hidden" r:id="rId30"/>
    <sheet name="_Dash_Supervisory" sheetId="30" state="hidden" r:id="rId31"/>
    <sheet name="_Dash_Ophthalmology" sheetId="31" state="hidden" r:id="rId32"/>
  </sheets>
  <definedNames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9" i="1" l="1"/>
  <c r="Q18" i="1"/>
  <c r="P19" i="1"/>
  <c r="P18" i="1"/>
  <c r="O19" i="1"/>
  <c r="N19" i="1"/>
  <c r="W19" i="2"/>
  <c r="V19" i="2"/>
  <c r="U19" i="2"/>
  <c r="T19" i="2"/>
  <c r="S19" i="2"/>
  <c r="R19" i="2"/>
  <c r="Q19" i="2"/>
  <c r="P19" i="2"/>
  <c r="O19" i="2"/>
  <c r="N19" i="2"/>
  <c r="M19" i="2"/>
  <c r="L19" i="2"/>
  <c r="J19" i="2"/>
  <c r="P15" i="1"/>
  <c r="P12" i="1"/>
  <c r="P16" i="1"/>
  <c r="H22" i="1"/>
  <c r="H21" i="1"/>
  <c r="H20" i="1"/>
  <c r="H18" i="1"/>
  <c r="H17" i="1"/>
  <c r="D22" i="1"/>
  <c r="C22" i="1"/>
  <c r="B36" i="6" l="1"/>
  <c r="B35" i="6"/>
  <c r="B34" i="6"/>
  <c r="B33" i="6"/>
  <c r="B32" i="6"/>
  <c r="B31" i="6"/>
  <c r="B30" i="6"/>
  <c r="B29" i="6"/>
  <c r="B28" i="6"/>
  <c r="B27" i="6"/>
  <c r="B26" i="6"/>
  <c r="B25" i="6"/>
  <c r="B36" i="5"/>
  <c r="B35" i="5"/>
  <c r="B34" i="5"/>
  <c r="B33" i="5"/>
  <c r="B32" i="5"/>
  <c r="B31" i="5"/>
  <c r="B30" i="5"/>
  <c r="B29" i="5"/>
  <c r="B28" i="5"/>
  <c r="B27" i="5"/>
  <c r="B26" i="5"/>
  <c r="B25" i="5"/>
  <c r="B36" i="4"/>
  <c r="B35" i="4"/>
  <c r="B34" i="4"/>
  <c r="B33" i="4"/>
  <c r="B32" i="4"/>
  <c r="B31" i="4"/>
  <c r="B30" i="4"/>
  <c r="B29" i="4"/>
  <c r="B28" i="4"/>
  <c r="B27" i="4"/>
  <c r="B26" i="4"/>
  <c r="B25" i="4"/>
  <c r="B36" i="3"/>
  <c r="B35" i="3"/>
  <c r="B34" i="3"/>
  <c r="B33" i="3"/>
  <c r="B32" i="3"/>
  <c r="B31" i="3"/>
  <c r="B30" i="3"/>
  <c r="B29" i="3"/>
  <c r="B28" i="3"/>
  <c r="B27" i="3"/>
  <c r="B26" i="3"/>
  <c r="B25" i="3"/>
  <c r="M36" i="6" l="1"/>
  <c r="H36" i="6"/>
  <c r="E36" i="6"/>
  <c r="M35" i="6"/>
  <c r="H35" i="6"/>
  <c r="E35" i="6"/>
  <c r="M34" i="6"/>
  <c r="H34" i="6"/>
  <c r="E34" i="6"/>
  <c r="M33" i="6"/>
  <c r="H33" i="6"/>
  <c r="E33" i="6"/>
  <c r="M32" i="6"/>
  <c r="H32" i="6"/>
  <c r="E32" i="6"/>
  <c r="M31" i="6"/>
  <c r="H31" i="6"/>
  <c r="E31" i="6"/>
  <c r="M30" i="6"/>
  <c r="H30" i="6"/>
  <c r="E30" i="6"/>
  <c r="M29" i="6"/>
  <c r="H29" i="6"/>
  <c r="E29" i="6"/>
  <c r="M28" i="6"/>
  <c r="H28" i="6"/>
  <c r="E28" i="6"/>
  <c r="M27" i="6"/>
  <c r="H27" i="6"/>
  <c r="E27" i="6"/>
  <c r="M26" i="6"/>
  <c r="H26" i="6"/>
  <c r="E26" i="6"/>
  <c r="M25" i="6"/>
  <c r="H25" i="6"/>
  <c r="E25" i="6"/>
  <c r="R22" i="6"/>
  <c r="M22" i="6"/>
  <c r="M22" i="25" s="1"/>
  <c r="H22" i="6"/>
  <c r="E22" i="6"/>
  <c r="B22" i="6"/>
  <c r="R21" i="6"/>
  <c r="M21" i="6"/>
  <c r="H21" i="6"/>
  <c r="E21" i="6"/>
  <c r="B21" i="6"/>
  <c r="R20" i="6"/>
  <c r="M20" i="6"/>
  <c r="M20" i="25" s="1"/>
  <c r="H20" i="6"/>
  <c r="E20" i="6"/>
  <c r="B20" i="6"/>
  <c r="R19" i="6"/>
  <c r="M19" i="6"/>
  <c r="H19" i="6"/>
  <c r="E19" i="6"/>
  <c r="B19" i="6"/>
  <c r="R18" i="6"/>
  <c r="M18" i="6"/>
  <c r="H18" i="6"/>
  <c r="E18" i="6"/>
  <c r="B18" i="6"/>
  <c r="R17" i="6"/>
  <c r="M17" i="6"/>
  <c r="M17" i="25" s="1"/>
  <c r="H17" i="6"/>
  <c r="E17" i="6"/>
  <c r="B17" i="6"/>
  <c r="R16" i="6"/>
  <c r="M16" i="6"/>
  <c r="H16" i="6"/>
  <c r="E16" i="6"/>
  <c r="B16" i="6"/>
  <c r="R15" i="6"/>
  <c r="M15" i="6"/>
  <c r="H15" i="6"/>
  <c r="E15" i="6"/>
  <c r="B15" i="6"/>
  <c r="R14" i="6"/>
  <c r="M14" i="6"/>
  <c r="M14" i="26" s="1"/>
  <c r="H14" i="6"/>
  <c r="E14" i="6"/>
  <c r="B14" i="6"/>
  <c r="R13" i="6"/>
  <c r="M13" i="6"/>
  <c r="H13" i="6"/>
  <c r="E13" i="6"/>
  <c r="B13" i="6"/>
  <c r="R12" i="6"/>
  <c r="M12" i="6"/>
  <c r="M12" i="25" s="1"/>
  <c r="H12" i="6"/>
  <c r="E12" i="6"/>
  <c r="B12" i="6"/>
  <c r="R11" i="6"/>
  <c r="M11" i="6"/>
  <c r="M11" i="26" s="1"/>
  <c r="H11" i="6"/>
  <c r="E11" i="6"/>
  <c r="B11" i="6"/>
  <c r="M36" i="5"/>
  <c r="H36" i="5"/>
  <c r="E36" i="5"/>
  <c r="M35" i="5"/>
  <c r="H35" i="5"/>
  <c r="E35" i="5"/>
  <c r="M34" i="5"/>
  <c r="H34" i="5"/>
  <c r="E34" i="5"/>
  <c r="M33" i="5"/>
  <c r="H33" i="5"/>
  <c r="E33" i="5"/>
  <c r="M32" i="5"/>
  <c r="H32" i="5"/>
  <c r="E32" i="5"/>
  <c r="M31" i="5"/>
  <c r="H31" i="5"/>
  <c r="E31" i="5"/>
  <c r="M30" i="5"/>
  <c r="H30" i="5"/>
  <c r="E30" i="5"/>
  <c r="M29" i="5"/>
  <c r="H29" i="5"/>
  <c r="E29" i="5"/>
  <c r="M28" i="5"/>
  <c r="H28" i="5"/>
  <c r="E28" i="5"/>
  <c r="M27" i="5"/>
  <c r="H27" i="5"/>
  <c r="E27" i="5"/>
  <c r="M26" i="5"/>
  <c r="H26" i="5"/>
  <c r="E26" i="5"/>
  <c r="M25" i="5"/>
  <c r="H25" i="5"/>
  <c r="E25" i="5"/>
  <c r="R22" i="5"/>
  <c r="M22" i="5"/>
  <c r="M22" i="24" s="1"/>
  <c r="H22" i="5"/>
  <c r="E22" i="5"/>
  <c r="B22" i="5"/>
  <c r="R21" i="5"/>
  <c r="M21" i="5"/>
  <c r="H21" i="5"/>
  <c r="E21" i="5"/>
  <c r="B21" i="5"/>
  <c r="R20" i="5"/>
  <c r="M20" i="5"/>
  <c r="H20" i="5"/>
  <c r="E20" i="5"/>
  <c r="B20" i="5"/>
  <c r="R19" i="5"/>
  <c r="M19" i="5"/>
  <c r="H19" i="5"/>
  <c r="E19" i="5"/>
  <c r="B19" i="5"/>
  <c r="R18" i="5"/>
  <c r="M18" i="5"/>
  <c r="H18" i="5"/>
  <c r="E18" i="5"/>
  <c r="B18" i="5"/>
  <c r="R17" i="5"/>
  <c r="M17" i="5"/>
  <c r="H17" i="5"/>
  <c r="E17" i="5"/>
  <c r="B17" i="5"/>
  <c r="R16" i="5"/>
  <c r="M16" i="5"/>
  <c r="H16" i="5"/>
  <c r="E16" i="5"/>
  <c r="B16" i="5"/>
  <c r="R15" i="5"/>
  <c r="M15" i="5"/>
  <c r="H15" i="5"/>
  <c r="E15" i="5"/>
  <c r="B15" i="5"/>
  <c r="R14" i="5"/>
  <c r="M14" i="5"/>
  <c r="H14" i="5"/>
  <c r="E14" i="5"/>
  <c r="B14" i="5"/>
  <c r="R13" i="5"/>
  <c r="M13" i="5"/>
  <c r="H13" i="5"/>
  <c r="E13" i="5"/>
  <c r="B13" i="5"/>
  <c r="R12" i="5"/>
  <c r="M12" i="5"/>
  <c r="H12" i="5"/>
  <c r="E12" i="5"/>
  <c r="B12" i="5"/>
  <c r="R11" i="5"/>
  <c r="M11" i="5"/>
  <c r="M11" i="24" s="1"/>
  <c r="H11" i="5"/>
  <c r="E11" i="5"/>
  <c r="B11" i="5"/>
  <c r="M36" i="4"/>
  <c r="H36" i="4"/>
  <c r="E36" i="4"/>
  <c r="M35" i="4"/>
  <c r="H35" i="4"/>
  <c r="E35" i="4"/>
  <c r="M34" i="4"/>
  <c r="H34" i="4"/>
  <c r="E34" i="4"/>
  <c r="M33" i="4"/>
  <c r="H33" i="4"/>
  <c r="E33" i="4"/>
  <c r="M32" i="4"/>
  <c r="H32" i="4"/>
  <c r="E32" i="4"/>
  <c r="M31" i="4"/>
  <c r="H31" i="4"/>
  <c r="E31" i="4"/>
  <c r="M30" i="4"/>
  <c r="H30" i="4"/>
  <c r="E30" i="4"/>
  <c r="M29" i="4"/>
  <c r="H29" i="4"/>
  <c r="E29" i="4"/>
  <c r="M28" i="4"/>
  <c r="H28" i="4"/>
  <c r="E28" i="4"/>
  <c r="M27" i="4"/>
  <c r="H27" i="4"/>
  <c r="E27" i="4"/>
  <c r="M26" i="4"/>
  <c r="H26" i="4"/>
  <c r="E26" i="4"/>
  <c r="M25" i="4"/>
  <c r="H25" i="4"/>
  <c r="E25" i="4"/>
  <c r="R22" i="4"/>
  <c r="M22" i="4"/>
  <c r="M22" i="22" s="1"/>
  <c r="H22" i="4"/>
  <c r="E22" i="4"/>
  <c r="B22" i="4"/>
  <c r="R21" i="4"/>
  <c r="M21" i="4"/>
  <c r="H21" i="4"/>
  <c r="E21" i="4"/>
  <c r="B21" i="4"/>
  <c r="R20" i="4"/>
  <c r="M20" i="4"/>
  <c r="H20" i="4"/>
  <c r="E20" i="4"/>
  <c r="B20" i="4"/>
  <c r="R19" i="4"/>
  <c r="M19" i="4"/>
  <c r="H19" i="4"/>
  <c r="E19" i="4"/>
  <c r="B19" i="4"/>
  <c r="R18" i="4"/>
  <c r="M18" i="4"/>
  <c r="H18" i="4"/>
  <c r="E18" i="4"/>
  <c r="B18" i="4"/>
  <c r="R17" i="4"/>
  <c r="M17" i="4"/>
  <c r="M17" i="22" s="1"/>
  <c r="H17" i="4"/>
  <c r="E17" i="4"/>
  <c r="B17" i="4"/>
  <c r="R16" i="4"/>
  <c r="M16" i="4"/>
  <c r="H16" i="4"/>
  <c r="E16" i="4"/>
  <c r="B16" i="4"/>
  <c r="R15" i="4"/>
  <c r="M15" i="4"/>
  <c r="H15" i="4"/>
  <c r="E15" i="4"/>
  <c r="B15" i="4"/>
  <c r="R14" i="4"/>
  <c r="M14" i="4"/>
  <c r="H14" i="4"/>
  <c r="E14" i="4"/>
  <c r="B14" i="4"/>
  <c r="R13" i="4"/>
  <c r="M13" i="4"/>
  <c r="H13" i="4"/>
  <c r="E13" i="4"/>
  <c r="B13" i="4"/>
  <c r="R12" i="4"/>
  <c r="M12" i="4"/>
  <c r="H12" i="4"/>
  <c r="E12" i="4"/>
  <c r="B12" i="4"/>
  <c r="R11" i="4"/>
  <c r="M11" i="4"/>
  <c r="M11" i="22" s="1"/>
  <c r="H11" i="4"/>
  <c r="E11" i="4"/>
  <c r="B11" i="4"/>
  <c r="M22" i="3"/>
  <c r="H22" i="3"/>
  <c r="E22" i="3"/>
  <c r="V22" i="31"/>
  <c r="U22" i="31"/>
  <c r="T22" i="31"/>
  <c r="S22" i="31"/>
  <c r="Q22" i="31"/>
  <c r="P22" i="31"/>
  <c r="O22" i="31"/>
  <c r="N22" i="31"/>
  <c r="L22" i="31"/>
  <c r="K22" i="31"/>
  <c r="J22" i="31"/>
  <c r="I22" i="31"/>
  <c r="F22" i="31"/>
  <c r="D22" i="31"/>
  <c r="C22" i="31"/>
  <c r="E22" i="31" s="1"/>
  <c r="B22" i="31"/>
  <c r="V21" i="31"/>
  <c r="U21" i="31"/>
  <c r="T21" i="31"/>
  <c r="S21" i="31"/>
  <c r="Q21" i="31"/>
  <c r="P21" i="31"/>
  <c r="O21" i="31"/>
  <c r="N21" i="31"/>
  <c r="L21" i="31"/>
  <c r="K21" i="31"/>
  <c r="J21" i="31"/>
  <c r="I21" i="31"/>
  <c r="F21" i="31"/>
  <c r="D21" i="31"/>
  <c r="C21" i="31"/>
  <c r="B21" i="31"/>
  <c r="V20" i="31"/>
  <c r="U20" i="31"/>
  <c r="T20" i="31"/>
  <c r="S20" i="31"/>
  <c r="Q20" i="31"/>
  <c r="P20" i="31"/>
  <c r="O20" i="31"/>
  <c r="N20" i="31"/>
  <c r="L20" i="31"/>
  <c r="K20" i="31"/>
  <c r="J20" i="31"/>
  <c r="I20" i="31"/>
  <c r="F20" i="31"/>
  <c r="D20" i="31"/>
  <c r="C20" i="31"/>
  <c r="B20" i="31"/>
  <c r="V19" i="31"/>
  <c r="U19" i="31"/>
  <c r="T19" i="31"/>
  <c r="S19" i="31"/>
  <c r="Q19" i="31"/>
  <c r="P19" i="31"/>
  <c r="O19" i="31"/>
  <c r="N19" i="31"/>
  <c r="L19" i="31"/>
  <c r="K19" i="31"/>
  <c r="J19" i="31"/>
  <c r="I19" i="31"/>
  <c r="F19" i="31"/>
  <c r="D19" i="31"/>
  <c r="C19" i="31"/>
  <c r="E19" i="31" s="1"/>
  <c r="B19" i="31"/>
  <c r="V18" i="31"/>
  <c r="U18" i="31"/>
  <c r="T18" i="31"/>
  <c r="S18" i="31"/>
  <c r="Q18" i="31"/>
  <c r="P18" i="31"/>
  <c r="O18" i="31"/>
  <c r="N18" i="31"/>
  <c r="L18" i="31"/>
  <c r="K18" i="31"/>
  <c r="J18" i="31"/>
  <c r="I18" i="31"/>
  <c r="F18" i="31"/>
  <c r="D18" i="31"/>
  <c r="C18" i="31"/>
  <c r="B18" i="31"/>
  <c r="V17" i="31"/>
  <c r="U17" i="31"/>
  <c r="T17" i="31"/>
  <c r="S17" i="31"/>
  <c r="Q17" i="31"/>
  <c r="P17" i="31"/>
  <c r="O17" i="31"/>
  <c r="N17" i="31"/>
  <c r="L17" i="31"/>
  <c r="K17" i="31"/>
  <c r="J17" i="31"/>
  <c r="I17" i="31"/>
  <c r="F17" i="31"/>
  <c r="D17" i="31"/>
  <c r="C17" i="31"/>
  <c r="B17" i="31"/>
  <c r="V16" i="31"/>
  <c r="U16" i="31"/>
  <c r="T16" i="31"/>
  <c r="S16" i="31"/>
  <c r="Q16" i="31"/>
  <c r="P16" i="31"/>
  <c r="O16" i="31"/>
  <c r="N16" i="31"/>
  <c r="L16" i="31"/>
  <c r="K16" i="31"/>
  <c r="J16" i="31"/>
  <c r="I16" i="31"/>
  <c r="F16" i="31"/>
  <c r="D16" i="31"/>
  <c r="C16" i="31"/>
  <c r="B16" i="31"/>
  <c r="V15" i="31"/>
  <c r="U15" i="31"/>
  <c r="T15" i="31"/>
  <c r="S15" i="31"/>
  <c r="Q15" i="31"/>
  <c r="P15" i="31"/>
  <c r="O15" i="31"/>
  <c r="N15" i="31"/>
  <c r="L15" i="31"/>
  <c r="K15" i="31"/>
  <c r="J15" i="31"/>
  <c r="I15" i="31"/>
  <c r="F15" i="31"/>
  <c r="D15" i="31"/>
  <c r="C15" i="31"/>
  <c r="B15" i="31"/>
  <c r="V14" i="31"/>
  <c r="U14" i="31"/>
  <c r="T14" i="31"/>
  <c r="S14" i="31"/>
  <c r="Q14" i="31"/>
  <c r="P14" i="31"/>
  <c r="O14" i="31"/>
  <c r="N14" i="31"/>
  <c r="L14" i="31"/>
  <c r="K14" i="31"/>
  <c r="J14" i="31"/>
  <c r="I14" i="31"/>
  <c r="F14" i="31"/>
  <c r="D14" i="31"/>
  <c r="C14" i="31"/>
  <c r="B14" i="31"/>
  <c r="V13" i="31"/>
  <c r="U13" i="31"/>
  <c r="T13" i="31"/>
  <c r="S13" i="31"/>
  <c r="Q13" i="31"/>
  <c r="P13" i="31"/>
  <c r="O13" i="31"/>
  <c r="N13" i="31"/>
  <c r="L13" i="31"/>
  <c r="K13" i="31"/>
  <c r="J13" i="31"/>
  <c r="I13" i="31"/>
  <c r="F13" i="31"/>
  <c r="D13" i="31"/>
  <c r="C13" i="31"/>
  <c r="B13" i="31"/>
  <c r="V12" i="31"/>
  <c r="U12" i="31"/>
  <c r="T12" i="31"/>
  <c r="S12" i="31"/>
  <c r="Q12" i="31"/>
  <c r="P12" i="31"/>
  <c r="O12" i="31"/>
  <c r="N12" i="31"/>
  <c r="L12" i="31"/>
  <c r="K12" i="31"/>
  <c r="J12" i="31"/>
  <c r="I12" i="31"/>
  <c r="F12" i="31"/>
  <c r="D12" i="31"/>
  <c r="C12" i="31"/>
  <c r="B12" i="31"/>
  <c r="V11" i="31"/>
  <c r="U11" i="31"/>
  <c r="T11" i="31"/>
  <c r="S11" i="31"/>
  <c r="Q11" i="31"/>
  <c r="P11" i="31"/>
  <c r="O11" i="31"/>
  <c r="N11" i="31"/>
  <c r="L11" i="31"/>
  <c r="K11" i="31"/>
  <c r="J11" i="31"/>
  <c r="J5" i="31" s="1"/>
  <c r="I11" i="31"/>
  <c r="F11" i="31"/>
  <c r="D11" i="31"/>
  <c r="C11" i="31"/>
  <c r="E11" i="31" s="1"/>
  <c r="B11" i="31"/>
  <c r="X7" i="31"/>
  <c r="V7" i="31"/>
  <c r="T7" i="31"/>
  <c r="Q7" i="31"/>
  <c r="P7" i="31"/>
  <c r="O7" i="31"/>
  <c r="N7" i="31"/>
  <c r="M7" i="31"/>
  <c r="L7" i="31"/>
  <c r="K7" i="31"/>
  <c r="J7" i="31"/>
  <c r="I7" i="31"/>
  <c r="H7" i="31"/>
  <c r="G7" i="31"/>
  <c r="F7" i="31"/>
  <c r="E7" i="31"/>
  <c r="D7" i="31"/>
  <c r="C7" i="31"/>
  <c r="X5" i="31"/>
  <c r="O5" i="31"/>
  <c r="L5" i="31"/>
  <c r="I5" i="31"/>
  <c r="F5" i="31"/>
  <c r="V22" i="30"/>
  <c r="U22" i="30"/>
  <c r="T22" i="30"/>
  <c r="S22" i="30"/>
  <c r="Q22" i="30"/>
  <c r="P22" i="30"/>
  <c r="O22" i="30"/>
  <c r="N22" i="30"/>
  <c r="M22" i="30"/>
  <c r="L22" i="30"/>
  <c r="K22" i="30"/>
  <c r="J22" i="30"/>
  <c r="I22" i="30"/>
  <c r="F22" i="30"/>
  <c r="E22" i="30"/>
  <c r="D22" i="30"/>
  <c r="C22" i="30"/>
  <c r="B22" i="30"/>
  <c r="V21" i="30"/>
  <c r="U21" i="30"/>
  <c r="T21" i="30"/>
  <c r="S21" i="30"/>
  <c r="Q21" i="30"/>
  <c r="P21" i="30"/>
  <c r="O21" i="30"/>
  <c r="N21" i="30"/>
  <c r="M21" i="30"/>
  <c r="L21" i="30"/>
  <c r="K21" i="30"/>
  <c r="J21" i="30"/>
  <c r="I21" i="30"/>
  <c r="F21" i="30"/>
  <c r="E21" i="30"/>
  <c r="D21" i="30"/>
  <c r="C21" i="30"/>
  <c r="B21" i="30"/>
  <c r="V20" i="30"/>
  <c r="U20" i="30"/>
  <c r="T20" i="30"/>
  <c r="S20" i="30"/>
  <c r="Q20" i="30"/>
  <c r="P20" i="30"/>
  <c r="O20" i="30"/>
  <c r="N20" i="30"/>
  <c r="M20" i="30"/>
  <c r="L20" i="30"/>
  <c r="K20" i="30"/>
  <c r="J20" i="30"/>
  <c r="I20" i="30"/>
  <c r="F20" i="30"/>
  <c r="E20" i="30"/>
  <c r="D20" i="30"/>
  <c r="C20" i="30"/>
  <c r="B20" i="30"/>
  <c r="V19" i="30"/>
  <c r="U19" i="30"/>
  <c r="T19" i="30"/>
  <c r="S19" i="30"/>
  <c r="Q19" i="30"/>
  <c r="P19" i="30"/>
  <c r="O19" i="30"/>
  <c r="N19" i="30"/>
  <c r="M19" i="30"/>
  <c r="L19" i="30"/>
  <c r="K19" i="30"/>
  <c r="J19" i="30"/>
  <c r="I19" i="30"/>
  <c r="F19" i="30"/>
  <c r="E19" i="30"/>
  <c r="D19" i="30"/>
  <c r="C19" i="30"/>
  <c r="B19" i="30"/>
  <c r="V18" i="30"/>
  <c r="U18" i="30"/>
  <c r="T18" i="30"/>
  <c r="S18" i="30"/>
  <c r="Q18" i="30"/>
  <c r="P18" i="30"/>
  <c r="O18" i="30"/>
  <c r="N18" i="30"/>
  <c r="M18" i="30"/>
  <c r="L18" i="30"/>
  <c r="K18" i="30"/>
  <c r="J18" i="30"/>
  <c r="I18" i="30"/>
  <c r="F18" i="30"/>
  <c r="E18" i="30"/>
  <c r="D18" i="30"/>
  <c r="C18" i="30"/>
  <c r="B18" i="30"/>
  <c r="V17" i="30"/>
  <c r="U17" i="30"/>
  <c r="T17" i="30"/>
  <c r="S17" i="30"/>
  <c r="Q17" i="30"/>
  <c r="P17" i="30"/>
  <c r="O17" i="30"/>
  <c r="N17" i="30"/>
  <c r="M17" i="30"/>
  <c r="L17" i="30"/>
  <c r="K17" i="30"/>
  <c r="J17" i="30"/>
  <c r="I17" i="30"/>
  <c r="F17" i="30"/>
  <c r="E17" i="30"/>
  <c r="D17" i="30"/>
  <c r="C17" i="30"/>
  <c r="B17" i="30"/>
  <c r="V16" i="30"/>
  <c r="U16" i="30"/>
  <c r="T16" i="30"/>
  <c r="S16" i="30"/>
  <c r="Q16" i="30"/>
  <c r="P16" i="30"/>
  <c r="O16" i="30"/>
  <c r="N16" i="30"/>
  <c r="M16" i="30"/>
  <c r="L16" i="30"/>
  <c r="K16" i="30"/>
  <c r="J16" i="30"/>
  <c r="I16" i="30"/>
  <c r="F16" i="30"/>
  <c r="E16" i="30"/>
  <c r="D16" i="30"/>
  <c r="C16" i="30"/>
  <c r="B16" i="30"/>
  <c r="V15" i="30"/>
  <c r="U15" i="30"/>
  <c r="T15" i="30"/>
  <c r="S15" i="30"/>
  <c r="Q15" i="30"/>
  <c r="P15" i="30"/>
  <c r="O15" i="30"/>
  <c r="N15" i="30"/>
  <c r="M15" i="30"/>
  <c r="L15" i="30"/>
  <c r="K15" i="30"/>
  <c r="J15" i="30"/>
  <c r="I15" i="30"/>
  <c r="F15" i="30"/>
  <c r="E15" i="30"/>
  <c r="D15" i="30"/>
  <c r="C15" i="30"/>
  <c r="B15" i="30"/>
  <c r="V14" i="30"/>
  <c r="U14" i="30"/>
  <c r="T14" i="30"/>
  <c r="S14" i="30"/>
  <c r="Q14" i="30"/>
  <c r="P14" i="30"/>
  <c r="O14" i="30"/>
  <c r="N14" i="30"/>
  <c r="M14" i="30"/>
  <c r="L14" i="30"/>
  <c r="K14" i="30"/>
  <c r="J14" i="30"/>
  <c r="I14" i="30"/>
  <c r="F14" i="30"/>
  <c r="E14" i="30"/>
  <c r="D14" i="30"/>
  <c r="C14" i="30"/>
  <c r="B14" i="30"/>
  <c r="V13" i="30"/>
  <c r="U13" i="30"/>
  <c r="T13" i="30"/>
  <c r="S13" i="30"/>
  <c r="Q13" i="30"/>
  <c r="P13" i="30"/>
  <c r="O13" i="30"/>
  <c r="N13" i="30"/>
  <c r="M13" i="30"/>
  <c r="L13" i="30"/>
  <c r="K13" i="30"/>
  <c r="J13" i="30"/>
  <c r="I13" i="30"/>
  <c r="F13" i="30"/>
  <c r="E13" i="30"/>
  <c r="D13" i="30"/>
  <c r="C13" i="30"/>
  <c r="B13" i="30"/>
  <c r="V12" i="30"/>
  <c r="U12" i="30"/>
  <c r="T12" i="30"/>
  <c r="S12" i="30"/>
  <c r="Q12" i="30"/>
  <c r="P12" i="30"/>
  <c r="O12" i="30"/>
  <c r="N12" i="30"/>
  <c r="M12" i="30"/>
  <c r="M5" i="30" s="1"/>
  <c r="L12" i="30"/>
  <c r="K12" i="30"/>
  <c r="J12" i="30"/>
  <c r="I12" i="30"/>
  <c r="F12" i="30"/>
  <c r="E12" i="30"/>
  <c r="D12" i="30"/>
  <c r="C12" i="30"/>
  <c r="B12" i="30"/>
  <c r="V11" i="30"/>
  <c r="U11" i="30"/>
  <c r="T11" i="30"/>
  <c r="S11" i="30"/>
  <c r="Q11" i="30"/>
  <c r="P11" i="30"/>
  <c r="O11" i="30"/>
  <c r="N11" i="30"/>
  <c r="M11" i="30"/>
  <c r="L11" i="30"/>
  <c r="K11" i="30"/>
  <c r="K5" i="30" s="1"/>
  <c r="J11" i="30"/>
  <c r="I11" i="30"/>
  <c r="F11" i="30"/>
  <c r="E11" i="30"/>
  <c r="D11" i="30"/>
  <c r="D5" i="30" s="1"/>
  <c r="C11" i="30"/>
  <c r="B11" i="30"/>
  <c r="X7" i="30"/>
  <c r="V7" i="30"/>
  <c r="T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X5" i="30"/>
  <c r="O5" i="30"/>
  <c r="L5" i="30"/>
  <c r="I5" i="30"/>
  <c r="F5" i="30"/>
  <c r="C5" i="30"/>
  <c r="V22" i="29"/>
  <c r="U22" i="29"/>
  <c r="T22" i="29"/>
  <c r="S22" i="29"/>
  <c r="Q22" i="29"/>
  <c r="P22" i="29"/>
  <c r="O22" i="29"/>
  <c r="N22" i="29"/>
  <c r="M22" i="29"/>
  <c r="L22" i="29"/>
  <c r="K22" i="29"/>
  <c r="J22" i="29"/>
  <c r="I22" i="29"/>
  <c r="F22" i="29"/>
  <c r="E22" i="29"/>
  <c r="D22" i="29"/>
  <c r="C22" i="29"/>
  <c r="B22" i="29"/>
  <c r="V21" i="29"/>
  <c r="U21" i="29"/>
  <c r="T21" i="29"/>
  <c r="S21" i="29"/>
  <c r="Q21" i="29"/>
  <c r="P21" i="29"/>
  <c r="O21" i="29"/>
  <c r="N21" i="29"/>
  <c r="M21" i="29"/>
  <c r="L21" i="29"/>
  <c r="K21" i="29"/>
  <c r="J21" i="29"/>
  <c r="I21" i="29"/>
  <c r="F21" i="29"/>
  <c r="E21" i="29"/>
  <c r="D21" i="29"/>
  <c r="C21" i="29"/>
  <c r="B21" i="29"/>
  <c r="V20" i="29"/>
  <c r="U20" i="29"/>
  <c r="T20" i="29"/>
  <c r="S20" i="29"/>
  <c r="Q20" i="29"/>
  <c r="P20" i="29"/>
  <c r="O20" i="29"/>
  <c r="N20" i="29"/>
  <c r="M20" i="29"/>
  <c r="L20" i="29"/>
  <c r="K20" i="29"/>
  <c r="J20" i="29"/>
  <c r="I20" i="29"/>
  <c r="F20" i="29"/>
  <c r="E20" i="29"/>
  <c r="D20" i="29"/>
  <c r="C20" i="29"/>
  <c r="B20" i="29"/>
  <c r="V19" i="29"/>
  <c r="U19" i="29"/>
  <c r="T19" i="29"/>
  <c r="S19" i="29"/>
  <c r="Q19" i="29"/>
  <c r="P19" i="29"/>
  <c r="O19" i="29"/>
  <c r="N19" i="29"/>
  <c r="M19" i="29"/>
  <c r="L19" i="29"/>
  <c r="K19" i="29"/>
  <c r="J19" i="29"/>
  <c r="I19" i="29"/>
  <c r="F19" i="29"/>
  <c r="E19" i="29"/>
  <c r="D19" i="29"/>
  <c r="C19" i="29"/>
  <c r="B19" i="29"/>
  <c r="V18" i="29"/>
  <c r="U18" i="29"/>
  <c r="T18" i="29"/>
  <c r="S18" i="29"/>
  <c r="Q18" i="29"/>
  <c r="P18" i="29"/>
  <c r="O18" i="29"/>
  <c r="N18" i="29"/>
  <c r="M18" i="29"/>
  <c r="L18" i="29"/>
  <c r="K18" i="29"/>
  <c r="J18" i="29"/>
  <c r="I18" i="29"/>
  <c r="F18" i="29"/>
  <c r="E18" i="29"/>
  <c r="D18" i="29"/>
  <c r="C18" i="29"/>
  <c r="B18" i="29"/>
  <c r="V17" i="29"/>
  <c r="U17" i="29"/>
  <c r="T17" i="29"/>
  <c r="S17" i="29"/>
  <c r="Q17" i="29"/>
  <c r="P17" i="29"/>
  <c r="O17" i="29"/>
  <c r="N17" i="29"/>
  <c r="M17" i="29"/>
  <c r="L17" i="29"/>
  <c r="K17" i="29"/>
  <c r="J17" i="29"/>
  <c r="I17" i="29"/>
  <c r="F17" i="29"/>
  <c r="E17" i="29"/>
  <c r="D17" i="29"/>
  <c r="C17" i="29"/>
  <c r="B17" i="29"/>
  <c r="V16" i="29"/>
  <c r="U16" i="29"/>
  <c r="T16" i="29"/>
  <c r="S16" i="29"/>
  <c r="Q16" i="29"/>
  <c r="P16" i="29"/>
  <c r="O16" i="29"/>
  <c r="N16" i="29"/>
  <c r="M16" i="29"/>
  <c r="L16" i="29"/>
  <c r="K16" i="29"/>
  <c r="J16" i="29"/>
  <c r="I16" i="29"/>
  <c r="F16" i="29"/>
  <c r="E16" i="29"/>
  <c r="D16" i="29"/>
  <c r="C16" i="29"/>
  <c r="B16" i="29"/>
  <c r="V15" i="29"/>
  <c r="U15" i="29"/>
  <c r="T15" i="29"/>
  <c r="S15" i="29"/>
  <c r="Q15" i="29"/>
  <c r="P15" i="29"/>
  <c r="O15" i="29"/>
  <c r="N15" i="29"/>
  <c r="M15" i="29"/>
  <c r="L15" i="29"/>
  <c r="K15" i="29"/>
  <c r="J15" i="29"/>
  <c r="I15" i="29"/>
  <c r="F15" i="29"/>
  <c r="E15" i="29"/>
  <c r="D15" i="29"/>
  <c r="C15" i="29"/>
  <c r="B15" i="29"/>
  <c r="V14" i="29"/>
  <c r="U14" i="29"/>
  <c r="T14" i="29"/>
  <c r="S14" i="29"/>
  <c r="Q14" i="29"/>
  <c r="P14" i="29"/>
  <c r="O14" i="29"/>
  <c r="N14" i="29"/>
  <c r="M14" i="29"/>
  <c r="L14" i="29"/>
  <c r="K14" i="29"/>
  <c r="J14" i="29"/>
  <c r="I14" i="29"/>
  <c r="H14" i="29"/>
  <c r="F14" i="29"/>
  <c r="E14" i="29"/>
  <c r="D14" i="29"/>
  <c r="C14" i="29"/>
  <c r="B14" i="29"/>
  <c r="V13" i="29"/>
  <c r="U13" i="29"/>
  <c r="T13" i="29"/>
  <c r="S13" i="29"/>
  <c r="Q13" i="29"/>
  <c r="P13" i="29"/>
  <c r="O13" i="29"/>
  <c r="N13" i="29"/>
  <c r="M13" i="29"/>
  <c r="L13" i="29"/>
  <c r="K13" i="29"/>
  <c r="J13" i="29"/>
  <c r="I13" i="29"/>
  <c r="F13" i="29"/>
  <c r="E13" i="29"/>
  <c r="D13" i="29"/>
  <c r="C13" i="29"/>
  <c r="B13" i="29"/>
  <c r="V12" i="29"/>
  <c r="U12" i="29"/>
  <c r="T12" i="29"/>
  <c r="S12" i="29"/>
  <c r="Q12" i="29"/>
  <c r="P12" i="29"/>
  <c r="O12" i="29"/>
  <c r="N12" i="29"/>
  <c r="M12" i="29"/>
  <c r="M5" i="29" s="1"/>
  <c r="L12" i="29"/>
  <c r="K12" i="29"/>
  <c r="J12" i="29"/>
  <c r="I12" i="29"/>
  <c r="F12" i="29"/>
  <c r="E12" i="29"/>
  <c r="D12" i="29"/>
  <c r="C12" i="29"/>
  <c r="B12" i="29"/>
  <c r="V11" i="29"/>
  <c r="U11" i="29"/>
  <c r="T11" i="29"/>
  <c r="S11" i="29"/>
  <c r="Q11" i="29"/>
  <c r="P11" i="29"/>
  <c r="O11" i="29"/>
  <c r="N11" i="29"/>
  <c r="N5" i="29" s="1"/>
  <c r="M11" i="29"/>
  <c r="L11" i="29"/>
  <c r="K11" i="29"/>
  <c r="K5" i="29" s="1"/>
  <c r="J11" i="29"/>
  <c r="I11" i="29"/>
  <c r="F11" i="29"/>
  <c r="E11" i="29"/>
  <c r="E5" i="29" s="1"/>
  <c r="D11" i="29"/>
  <c r="D5" i="29" s="1"/>
  <c r="C11" i="29"/>
  <c r="B11" i="29"/>
  <c r="X7" i="29"/>
  <c r="V7" i="29"/>
  <c r="T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C7" i="29"/>
  <c r="X5" i="29"/>
  <c r="O5" i="29"/>
  <c r="L5" i="29"/>
  <c r="I5" i="29"/>
  <c r="F5" i="29"/>
  <c r="C5" i="29"/>
  <c r="V22" i="28"/>
  <c r="U22" i="28"/>
  <c r="T22" i="28"/>
  <c r="S22" i="28"/>
  <c r="P22" i="28"/>
  <c r="O22" i="28"/>
  <c r="N22" i="28"/>
  <c r="L22" i="28"/>
  <c r="K22" i="28"/>
  <c r="J22" i="28"/>
  <c r="I22" i="28"/>
  <c r="H22" i="28"/>
  <c r="G22" i="28"/>
  <c r="F22" i="28"/>
  <c r="E22" i="28"/>
  <c r="D22" i="28"/>
  <c r="C22" i="28"/>
  <c r="B22" i="28"/>
  <c r="V21" i="28"/>
  <c r="U21" i="28"/>
  <c r="T21" i="28"/>
  <c r="S21" i="28"/>
  <c r="P21" i="28"/>
  <c r="O21" i="28"/>
  <c r="N21" i="28"/>
  <c r="L21" i="28"/>
  <c r="K21" i="28"/>
  <c r="J21" i="28"/>
  <c r="I21" i="28"/>
  <c r="H21" i="28"/>
  <c r="G21" i="28"/>
  <c r="F21" i="28"/>
  <c r="E21" i="28"/>
  <c r="D21" i="28"/>
  <c r="C21" i="28"/>
  <c r="B21" i="28"/>
  <c r="V20" i="28"/>
  <c r="U20" i="28"/>
  <c r="T20" i="28"/>
  <c r="S20" i="28"/>
  <c r="P20" i="28"/>
  <c r="O20" i="28"/>
  <c r="N20" i="28"/>
  <c r="L20" i="28"/>
  <c r="K20" i="28"/>
  <c r="J20" i="28"/>
  <c r="I20" i="28"/>
  <c r="H20" i="28"/>
  <c r="G20" i="28"/>
  <c r="F20" i="28"/>
  <c r="E20" i="28"/>
  <c r="D20" i="28"/>
  <c r="C20" i="28"/>
  <c r="B20" i="28"/>
  <c r="V19" i="28"/>
  <c r="U19" i="28"/>
  <c r="T19" i="28"/>
  <c r="S19" i="28"/>
  <c r="P19" i="28"/>
  <c r="O19" i="28"/>
  <c r="N19" i="28"/>
  <c r="L19" i="28"/>
  <c r="K19" i="28"/>
  <c r="J19" i="28"/>
  <c r="I19" i="28"/>
  <c r="H19" i="28"/>
  <c r="G19" i="28"/>
  <c r="F19" i="28"/>
  <c r="E19" i="28"/>
  <c r="D19" i="28"/>
  <c r="C19" i="28"/>
  <c r="B19" i="28"/>
  <c r="V18" i="28"/>
  <c r="U18" i="28"/>
  <c r="T18" i="28"/>
  <c r="S18" i="28"/>
  <c r="P18" i="28"/>
  <c r="O18" i="28"/>
  <c r="N18" i="28"/>
  <c r="L18" i="28"/>
  <c r="K18" i="28"/>
  <c r="J18" i="28"/>
  <c r="I18" i="28"/>
  <c r="H18" i="28"/>
  <c r="G18" i="28"/>
  <c r="F18" i="28"/>
  <c r="E18" i="28"/>
  <c r="D18" i="28"/>
  <c r="C18" i="28"/>
  <c r="B18" i="28"/>
  <c r="V17" i="28"/>
  <c r="U17" i="28"/>
  <c r="T17" i="28"/>
  <c r="S17" i="28"/>
  <c r="P17" i="28"/>
  <c r="O17" i="28"/>
  <c r="N17" i="28"/>
  <c r="L17" i="28"/>
  <c r="K17" i="28"/>
  <c r="J17" i="28"/>
  <c r="I17" i="28"/>
  <c r="H17" i="28"/>
  <c r="G17" i="28"/>
  <c r="F17" i="28"/>
  <c r="E17" i="28"/>
  <c r="D17" i="28"/>
  <c r="C17" i="28"/>
  <c r="B17" i="28"/>
  <c r="V16" i="28"/>
  <c r="U16" i="28"/>
  <c r="T16" i="28"/>
  <c r="S16" i="28"/>
  <c r="P16" i="28"/>
  <c r="O16" i="28"/>
  <c r="N16" i="28"/>
  <c r="L16" i="28"/>
  <c r="K16" i="28"/>
  <c r="J16" i="28"/>
  <c r="I16" i="28"/>
  <c r="H16" i="28"/>
  <c r="G16" i="28"/>
  <c r="F16" i="28"/>
  <c r="E16" i="28"/>
  <c r="D16" i="28"/>
  <c r="C16" i="28"/>
  <c r="B16" i="28"/>
  <c r="V15" i="28"/>
  <c r="U15" i="28"/>
  <c r="T15" i="28"/>
  <c r="S15" i="28"/>
  <c r="P15" i="28"/>
  <c r="O15" i="28"/>
  <c r="N15" i="28"/>
  <c r="L15" i="28"/>
  <c r="K15" i="28"/>
  <c r="J15" i="28"/>
  <c r="I15" i="28"/>
  <c r="H15" i="28"/>
  <c r="G15" i="28"/>
  <c r="F15" i="28"/>
  <c r="E15" i="28"/>
  <c r="D15" i="28"/>
  <c r="C15" i="28"/>
  <c r="B15" i="28"/>
  <c r="V14" i="28"/>
  <c r="U14" i="28"/>
  <c r="T14" i="28"/>
  <c r="S14" i="28"/>
  <c r="P14" i="28"/>
  <c r="O14" i="28"/>
  <c r="N14" i="28"/>
  <c r="L14" i="28"/>
  <c r="K14" i="28"/>
  <c r="J14" i="28"/>
  <c r="I14" i="28"/>
  <c r="H14" i="28"/>
  <c r="G14" i="28"/>
  <c r="F14" i="28"/>
  <c r="E14" i="28"/>
  <c r="D14" i="28"/>
  <c r="C14" i="28"/>
  <c r="B14" i="28"/>
  <c r="V13" i="28"/>
  <c r="U13" i="28"/>
  <c r="T13" i="28"/>
  <c r="S13" i="28"/>
  <c r="P13" i="28"/>
  <c r="O13" i="28"/>
  <c r="N13" i="28"/>
  <c r="L13" i="28"/>
  <c r="K13" i="28"/>
  <c r="J13" i="28"/>
  <c r="I13" i="28"/>
  <c r="H13" i="28"/>
  <c r="G13" i="28"/>
  <c r="F13" i="28"/>
  <c r="E13" i="28"/>
  <c r="D13" i="28"/>
  <c r="C13" i="28"/>
  <c r="B13" i="28"/>
  <c r="V12" i="28"/>
  <c r="U12" i="28"/>
  <c r="T12" i="28"/>
  <c r="S12" i="28"/>
  <c r="P12" i="28"/>
  <c r="O12" i="28"/>
  <c r="O6" i="28" s="1"/>
  <c r="N12" i="28"/>
  <c r="L12" i="28"/>
  <c r="K12" i="28"/>
  <c r="J12" i="28"/>
  <c r="I12" i="28"/>
  <c r="I5" i="28" s="1"/>
  <c r="H12" i="28"/>
  <c r="G12" i="28"/>
  <c r="G5" i="28" s="1"/>
  <c r="F12" i="28"/>
  <c r="E12" i="28"/>
  <c r="D12" i="28"/>
  <c r="C12" i="28"/>
  <c r="B12" i="28"/>
  <c r="V11" i="28"/>
  <c r="U11" i="28"/>
  <c r="T11" i="28"/>
  <c r="T5" i="28" s="1"/>
  <c r="S11" i="28"/>
  <c r="P11" i="28"/>
  <c r="O11" i="28"/>
  <c r="N11" i="28"/>
  <c r="N5" i="28" s="1"/>
  <c r="L11" i="28"/>
  <c r="L5" i="28" s="1"/>
  <c r="K11" i="28"/>
  <c r="J11" i="28"/>
  <c r="I11" i="28"/>
  <c r="H11" i="28"/>
  <c r="G11" i="28"/>
  <c r="G6" i="28" s="1"/>
  <c r="F11" i="28"/>
  <c r="E11" i="28"/>
  <c r="E6" i="28" s="1"/>
  <c r="D11" i="28"/>
  <c r="C11" i="28"/>
  <c r="B11" i="28"/>
  <c r="W7" i="28"/>
  <c r="V7" i="28"/>
  <c r="U7" i="28"/>
  <c r="T7" i="28"/>
  <c r="S7" i="28"/>
  <c r="R7" i="28"/>
  <c r="O7" i="28"/>
  <c r="N7" i="28"/>
  <c r="M7" i="28"/>
  <c r="L7" i="28"/>
  <c r="K7" i="28"/>
  <c r="J7" i="28"/>
  <c r="I7" i="28"/>
  <c r="H7" i="28"/>
  <c r="G7" i="28"/>
  <c r="F7" i="28"/>
  <c r="E7" i="28"/>
  <c r="D7" i="28"/>
  <c r="C7" i="28"/>
  <c r="W6" i="28"/>
  <c r="N6" i="28"/>
  <c r="L6" i="28"/>
  <c r="J6" i="28"/>
  <c r="I6" i="28"/>
  <c r="F6" i="28"/>
  <c r="W5" i="28"/>
  <c r="U5" i="28"/>
  <c r="O5" i="28"/>
  <c r="J5" i="28"/>
  <c r="F5" i="28"/>
  <c r="V22" i="27"/>
  <c r="U22" i="27"/>
  <c r="T22" i="27"/>
  <c r="S22" i="27"/>
  <c r="P22" i="27"/>
  <c r="O22" i="27"/>
  <c r="M22" i="27"/>
  <c r="L22" i="27"/>
  <c r="K22" i="27"/>
  <c r="J22" i="27"/>
  <c r="I22" i="27"/>
  <c r="G22" i="27"/>
  <c r="F22" i="27"/>
  <c r="D22" i="27"/>
  <c r="C22" i="27"/>
  <c r="E22" i="27" s="1"/>
  <c r="B22" i="27"/>
  <c r="V21" i="27"/>
  <c r="U21" i="27"/>
  <c r="T21" i="27"/>
  <c r="S21" i="27"/>
  <c r="P21" i="27"/>
  <c r="O21" i="27"/>
  <c r="M21" i="27"/>
  <c r="L21" i="27"/>
  <c r="K21" i="27"/>
  <c r="J21" i="27"/>
  <c r="I21" i="27"/>
  <c r="G21" i="27"/>
  <c r="F21" i="27"/>
  <c r="H21" i="27" s="1"/>
  <c r="D21" i="27"/>
  <c r="E21" i="27" s="1"/>
  <c r="C21" i="27"/>
  <c r="B21" i="27"/>
  <c r="V20" i="27"/>
  <c r="U20" i="27"/>
  <c r="T20" i="27"/>
  <c r="S20" i="27"/>
  <c r="P20" i="27"/>
  <c r="O20" i="27"/>
  <c r="M20" i="27"/>
  <c r="L20" i="27"/>
  <c r="K20" i="27"/>
  <c r="J20" i="27"/>
  <c r="I20" i="27"/>
  <c r="H20" i="27"/>
  <c r="G20" i="27"/>
  <c r="F20" i="27"/>
  <c r="D20" i="27"/>
  <c r="C20" i="27"/>
  <c r="E20" i="27" s="1"/>
  <c r="B20" i="27"/>
  <c r="V19" i="27"/>
  <c r="U19" i="27"/>
  <c r="T19" i="27"/>
  <c r="S19" i="27"/>
  <c r="P19" i="27"/>
  <c r="O19" i="27"/>
  <c r="M19" i="27"/>
  <c r="L19" i="27"/>
  <c r="K19" i="27"/>
  <c r="J19" i="27"/>
  <c r="I19" i="27"/>
  <c r="G19" i="27"/>
  <c r="F19" i="27"/>
  <c r="H19" i="27" s="1"/>
  <c r="E19" i="27"/>
  <c r="D19" i="27"/>
  <c r="C19" i="27"/>
  <c r="B19" i="27"/>
  <c r="V18" i="27"/>
  <c r="U18" i="27"/>
  <c r="T18" i="27"/>
  <c r="S18" i="27"/>
  <c r="P18" i="27"/>
  <c r="O18" i="27"/>
  <c r="M18" i="27"/>
  <c r="L18" i="27"/>
  <c r="K18" i="27"/>
  <c r="J18" i="27"/>
  <c r="I18" i="27"/>
  <c r="G18" i="27"/>
  <c r="F18" i="27"/>
  <c r="H18" i="27" s="1"/>
  <c r="E18" i="27"/>
  <c r="D18" i="27"/>
  <c r="C18" i="27"/>
  <c r="B18" i="27"/>
  <c r="V17" i="27"/>
  <c r="U17" i="27"/>
  <c r="T17" i="27"/>
  <c r="S17" i="27"/>
  <c r="P17" i="27"/>
  <c r="O17" i="27"/>
  <c r="M17" i="27"/>
  <c r="L17" i="27"/>
  <c r="K17" i="27"/>
  <c r="J17" i="27"/>
  <c r="I17" i="27"/>
  <c r="G17" i="27"/>
  <c r="F17" i="27"/>
  <c r="H17" i="27" s="1"/>
  <c r="D17" i="27"/>
  <c r="C17" i="27"/>
  <c r="E17" i="27" s="1"/>
  <c r="B17" i="27"/>
  <c r="V16" i="27"/>
  <c r="U16" i="27"/>
  <c r="T16" i="27"/>
  <c r="S16" i="27"/>
  <c r="P16" i="27"/>
  <c r="O16" i="27"/>
  <c r="M16" i="27"/>
  <c r="L16" i="27"/>
  <c r="K16" i="27"/>
  <c r="J16" i="27"/>
  <c r="I16" i="27"/>
  <c r="H16" i="27"/>
  <c r="G16" i="27"/>
  <c r="F16" i="27"/>
  <c r="D16" i="27"/>
  <c r="C16" i="27"/>
  <c r="E16" i="27" s="1"/>
  <c r="B16" i="27"/>
  <c r="V15" i="27"/>
  <c r="U15" i="27"/>
  <c r="T15" i="27"/>
  <c r="S15" i="27"/>
  <c r="P15" i="27"/>
  <c r="O15" i="27"/>
  <c r="M15" i="27"/>
  <c r="L15" i="27"/>
  <c r="K15" i="27"/>
  <c r="J15" i="27"/>
  <c r="I15" i="27"/>
  <c r="G15" i="27"/>
  <c r="F15" i="27"/>
  <c r="H15" i="27" s="1"/>
  <c r="E15" i="27"/>
  <c r="D15" i="27"/>
  <c r="C15" i="27"/>
  <c r="B15" i="27"/>
  <c r="V14" i="27"/>
  <c r="U14" i="27"/>
  <c r="T14" i="27"/>
  <c r="S14" i="27"/>
  <c r="P14" i="27"/>
  <c r="O14" i="27"/>
  <c r="M14" i="27"/>
  <c r="L14" i="27"/>
  <c r="K14" i="27"/>
  <c r="J14" i="27"/>
  <c r="I14" i="27"/>
  <c r="G14" i="27"/>
  <c r="F14" i="27"/>
  <c r="H14" i="27" s="1"/>
  <c r="E14" i="27"/>
  <c r="D14" i="27"/>
  <c r="C14" i="27"/>
  <c r="B14" i="27"/>
  <c r="V13" i="27"/>
  <c r="U13" i="27"/>
  <c r="T13" i="27"/>
  <c r="S13" i="27"/>
  <c r="P13" i="27"/>
  <c r="O13" i="27"/>
  <c r="M13" i="27"/>
  <c r="L13" i="27"/>
  <c r="K13" i="27"/>
  <c r="J13" i="27"/>
  <c r="I13" i="27"/>
  <c r="G13" i="27"/>
  <c r="F13" i="27"/>
  <c r="H13" i="27" s="1"/>
  <c r="D13" i="27"/>
  <c r="C13" i="27"/>
  <c r="E13" i="27" s="1"/>
  <c r="B13" i="27"/>
  <c r="V12" i="27"/>
  <c r="U12" i="27"/>
  <c r="T12" i="27"/>
  <c r="S12" i="27"/>
  <c r="P12" i="27"/>
  <c r="O12" i="27"/>
  <c r="M12" i="27"/>
  <c r="L12" i="27"/>
  <c r="K12" i="27"/>
  <c r="J12" i="27"/>
  <c r="I12" i="27"/>
  <c r="H12" i="27"/>
  <c r="G12" i="27"/>
  <c r="F12" i="27"/>
  <c r="D12" i="27"/>
  <c r="C12" i="27"/>
  <c r="E12" i="27" s="1"/>
  <c r="B12" i="27"/>
  <c r="V11" i="27"/>
  <c r="U11" i="27"/>
  <c r="T11" i="27"/>
  <c r="T5" i="27" s="1"/>
  <c r="S11" i="27"/>
  <c r="P11" i="27"/>
  <c r="O11" i="27"/>
  <c r="M11" i="27"/>
  <c r="L11" i="27"/>
  <c r="K11" i="27"/>
  <c r="J11" i="27"/>
  <c r="I11" i="27"/>
  <c r="G11" i="27"/>
  <c r="F11" i="27"/>
  <c r="E11" i="27"/>
  <c r="D11" i="27"/>
  <c r="C11" i="27"/>
  <c r="B11" i="27"/>
  <c r="W7" i="27"/>
  <c r="V7" i="27"/>
  <c r="U7" i="27"/>
  <c r="T7" i="27"/>
  <c r="S7" i="27"/>
  <c r="R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W6" i="27"/>
  <c r="J6" i="27"/>
  <c r="G6" i="27"/>
  <c r="W5" i="27"/>
  <c r="J5" i="27"/>
  <c r="G5" i="27"/>
  <c r="V22" i="26"/>
  <c r="U22" i="26"/>
  <c r="T22" i="26"/>
  <c r="S22" i="26"/>
  <c r="P22" i="26"/>
  <c r="O22" i="26"/>
  <c r="N22" i="26"/>
  <c r="M22" i="26"/>
  <c r="L22" i="26"/>
  <c r="K22" i="26"/>
  <c r="B22" i="26"/>
  <c r="V21" i="26"/>
  <c r="U21" i="26"/>
  <c r="T21" i="26"/>
  <c r="S21" i="26"/>
  <c r="P21" i="26"/>
  <c r="O21" i="26"/>
  <c r="N21" i="26"/>
  <c r="L21" i="26"/>
  <c r="K21" i="26"/>
  <c r="J21" i="26"/>
  <c r="B21" i="26"/>
  <c r="V20" i="26"/>
  <c r="U20" i="26"/>
  <c r="T20" i="26"/>
  <c r="S20" i="26"/>
  <c r="P20" i="26"/>
  <c r="O20" i="26"/>
  <c r="N20" i="26"/>
  <c r="L20" i="26"/>
  <c r="K20" i="26"/>
  <c r="B20" i="26"/>
  <c r="V19" i="26"/>
  <c r="U19" i="26"/>
  <c r="T19" i="26"/>
  <c r="S19" i="26"/>
  <c r="P19" i="26"/>
  <c r="O19" i="26"/>
  <c r="N19" i="26"/>
  <c r="L19" i="26"/>
  <c r="K19" i="26"/>
  <c r="D19" i="26"/>
  <c r="B19" i="26"/>
  <c r="V18" i="26"/>
  <c r="U18" i="26"/>
  <c r="T18" i="26"/>
  <c r="S18" i="26"/>
  <c r="P18" i="26"/>
  <c r="O18" i="26"/>
  <c r="N18" i="26"/>
  <c r="M18" i="26"/>
  <c r="L18" i="26"/>
  <c r="K18" i="26"/>
  <c r="B18" i="26"/>
  <c r="V17" i="26"/>
  <c r="U17" i="26"/>
  <c r="T17" i="26"/>
  <c r="S17" i="26"/>
  <c r="P17" i="26"/>
  <c r="O17" i="26"/>
  <c r="N17" i="26"/>
  <c r="L17" i="26"/>
  <c r="K17" i="26"/>
  <c r="B17" i="26"/>
  <c r="V16" i="26"/>
  <c r="U16" i="26"/>
  <c r="T16" i="26"/>
  <c r="S16" i="26"/>
  <c r="P16" i="26"/>
  <c r="O16" i="26"/>
  <c r="N16" i="26"/>
  <c r="L16" i="26"/>
  <c r="K16" i="26"/>
  <c r="J16" i="26"/>
  <c r="B16" i="26"/>
  <c r="V15" i="26"/>
  <c r="U15" i="26"/>
  <c r="T15" i="26"/>
  <c r="S15" i="26"/>
  <c r="P15" i="26"/>
  <c r="O15" i="26"/>
  <c r="N15" i="26"/>
  <c r="L15" i="26"/>
  <c r="K15" i="26"/>
  <c r="B15" i="26"/>
  <c r="V14" i="26"/>
  <c r="U14" i="26"/>
  <c r="T14" i="26"/>
  <c r="S14" i="26"/>
  <c r="P14" i="26"/>
  <c r="O14" i="26"/>
  <c r="N14" i="26"/>
  <c r="L14" i="26"/>
  <c r="K14" i="26"/>
  <c r="B14" i="26"/>
  <c r="V13" i="26"/>
  <c r="U13" i="26"/>
  <c r="T13" i="26"/>
  <c r="S13" i="26"/>
  <c r="P13" i="26"/>
  <c r="O13" i="26"/>
  <c r="N13" i="26"/>
  <c r="L13" i="26"/>
  <c r="K13" i="26"/>
  <c r="B13" i="26"/>
  <c r="V12" i="26"/>
  <c r="U12" i="26"/>
  <c r="T12" i="26"/>
  <c r="S12" i="26"/>
  <c r="P12" i="26"/>
  <c r="O12" i="26"/>
  <c r="N12" i="26"/>
  <c r="L12" i="26"/>
  <c r="K12" i="26"/>
  <c r="B12" i="26"/>
  <c r="V11" i="26"/>
  <c r="U11" i="26"/>
  <c r="T11" i="26"/>
  <c r="S11" i="26"/>
  <c r="P11" i="26"/>
  <c r="O11" i="26"/>
  <c r="N11" i="26"/>
  <c r="L11" i="26"/>
  <c r="K11" i="26"/>
  <c r="B11" i="26"/>
  <c r="W7" i="26"/>
  <c r="V7" i="26"/>
  <c r="U7" i="26"/>
  <c r="T7" i="26"/>
  <c r="S7" i="26"/>
  <c r="R7" i="26"/>
  <c r="O7" i="26"/>
  <c r="N7" i="26"/>
  <c r="M7" i="26"/>
  <c r="L7" i="26"/>
  <c r="K7" i="26"/>
  <c r="J7" i="26"/>
  <c r="I7" i="26"/>
  <c r="H7" i="26"/>
  <c r="G7" i="26"/>
  <c r="F7" i="26"/>
  <c r="E7" i="26"/>
  <c r="D7" i="26"/>
  <c r="C7" i="26"/>
  <c r="W6" i="26"/>
  <c r="W5" i="26"/>
  <c r="V22" i="25"/>
  <c r="U22" i="25"/>
  <c r="T22" i="25"/>
  <c r="S22" i="25"/>
  <c r="Q22" i="25"/>
  <c r="P22" i="25"/>
  <c r="O22" i="25"/>
  <c r="N22" i="25"/>
  <c r="L22" i="25"/>
  <c r="K22" i="25"/>
  <c r="J22" i="25"/>
  <c r="I22" i="25"/>
  <c r="G22" i="25"/>
  <c r="H22" i="25" s="1"/>
  <c r="F22" i="25"/>
  <c r="D22" i="25"/>
  <c r="C22" i="25"/>
  <c r="E22" i="25" s="1"/>
  <c r="B22" i="25"/>
  <c r="V21" i="25"/>
  <c r="U21" i="25"/>
  <c r="T21" i="25"/>
  <c r="S21" i="25"/>
  <c r="Q21" i="25"/>
  <c r="P21" i="25"/>
  <c r="O21" i="25"/>
  <c r="N21" i="25"/>
  <c r="L21" i="25"/>
  <c r="K21" i="25"/>
  <c r="J21" i="25"/>
  <c r="I21" i="25"/>
  <c r="G21" i="25"/>
  <c r="F21" i="25"/>
  <c r="E21" i="25"/>
  <c r="D21" i="25"/>
  <c r="C21" i="25"/>
  <c r="B21" i="25"/>
  <c r="V20" i="25"/>
  <c r="U20" i="25"/>
  <c r="T20" i="25"/>
  <c r="S20" i="25"/>
  <c r="Q20" i="25"/>
  <c r="P20" i="25"/>
  <c r="O20" i="25"/>
  <c r="N20" i="25"/>
  <c r="L20" i="25"/>
  <c r="K20" i="25"/>
  <c r="J20" i="25"/>
  <c r="I20" i="25"/>
  <c r="G20" i="25"/>
  <c r="F20" i="25"/>
  <c r="D20" i="25"/>
  <c r="C20" i="25"/>
  <c r="B20" i="25"/>
  <c r="V19" i="25"/>
  <c r="U19" i="25"/>
  <c r="T19" i="25"/>
  <c r="S19" i="25"/>
  <c r="Q19" i="25"/>
  <c r="P19" i="25"/>
  <c r="O19" i="25"/>
  <c r="N19" i="25"/>
  <c r="L19" i="25"/>
  <c r="K19" i="25"/>
  <c r="J19" i="25"/>
  <c r="I19" i="25"/>
  <c r="G19" i="25"/>
  <c r="F19" i="25"/>
  <c r="D19" i="25"/>
  <c r="E19" i="25" s="1"/>
  <c r="C19" i="25"/>
  <c r="B19" i="25"/>
  <c r="V18" i="25"/>
  <c r="U18" i="25"/>
  <c r="T18" i="25"/>
  <c r="S18" i="25"/>
  <c r="Q18" i="25"/>
  <c r="P18" i="25"/>
  <c r="O18" i="25"/>
  <c r="N18" i="25"/>
  <c r="L18" i="25"/>
  <c r="K18" i="25"/>
  <c r="J18" i="25"/>
  <c r="I18" i="25"/>
  <c r="G18" i="25"/>
  <c r="F18" i="25"/>
  <c r="D18" i="25"/>
  <c r="E18" i="25" s="1"/>
  <c r="C18" i="25"/>
  <c r="B18" i="25"/>
  <c r="V17" i="25"/>
  <c r="U17" i="25"/>
  <c r="T17" i="25"/>
  <c r="S17" i="25"/>
  <c r="Q17" i="25"/>
  <c r="P17" i="25"/>
  <c r="O17" i="25"/>
  <c r="N17" i="25"/>
  <c r="L17" i="25"/>
  <c r="K17" i="25"/>
  <c r="J17" i="25"/>
  <c r="I17" i="25"/>
  <c r="G17" i="25"/>
  <c r="F17" i="25"/>
  <c r="D17" i="25"/>
  <c r="C17" i="25"/>
  <c r="B17" i="25"/>
  <c r="V16" i="25"/>
  <c r="U16" i="25"/>
  <c r="T16" i="25"/>
  <c r="S16" i="25"/>
  <c r="Q16" i="25"/>
  <c r="P16" i="25"/>
  <c r="O16" i="25"/>
  <c r="N16" i="25"/>
  <c r="L16" i="25"/>
  <c r="K16" i="25"/>
  <c r="J16" i="25"/>
  <c r="I16" i="25"/>
  <c r="H16" i="25"/>
  <c r="G16" i="25"/>
  <c r="F16" i="25"/>
  <c r="D16" i="25"/>
  <c r="E16" i="25" s="1"/>
  <c r="C16" i="25"/>
  <c r="B16" i="25"/>
  <c r="V15" i="25"/>
  <c r="U15" i="25"/>
  <c r="T15" i="25"/>
  <c r="S15" i="25"/>
  <c r="Q15" i="25"/>
  <c r="P15" i="25"/>
  <c r="O15" i="25"/>
  <c r="N15" i="25"/>
  <c r="L15" i="25"/>
  <c r="K15" i="25"/>
  <c r="J15" i="25"/>
  <c r="I15" i="25"/>
  <c r="G15" i="25"/>
  <c r="F15" i="25"/>
  <c r="D15" i="25"/>
  <c r="E15" i="25" s="1"/>
  <c r="C15" i="25"/>
  <c r="B15" i="25"/>
  <c r="V14" i="25"/>
  <c r="U14" i="25"/>
  <c r="T14" i="25"/>
  <c r="S14" i="25"/>
  <c r="Q14" i="25"/>
  <c r="P14" i="25"/>
  <c r="O14" i="25"/>
  <c r="N14" i="25"/>
  <c r="L14" i="25"/>
  <c r="K14" i="25"/>
  <c r="J14" i="25"/>
  <c r="I14" i="25"/>
  <c r="G14" i="25"/>
  <c r="F14" i="25"/>
  <c r="H14" i="25" s="1"/>
  <c r="D14" i="25"/>
  <c r="C14" i="25"/>
  <c r="B14" i="25"/>
  <c r="V13" i="25"/>
  <c r="U13" i="25"/>
  <c r="T13" i="25"/>
  <c r="S13" i="25"/>
  <c r="Q13" i="25"/>
  <c r="P13" i="25"/>
  <c r="O13" i="25"/>
  <c r="N13" i="25"/>
  <c r="L13" i="25"/>
  <c r="K13" i="25"/>
  <c r="J13" i="25"/>
  <c r="I13" i="25"/>
  <c r="G13" i="25"/>
  <c r="F13" i="25"/>
  <c r="D13" i="25"/>
  <c r="E13" i="25" s="1"/>
  <c r="C13" i="25"/>
  <c r="B13" i="25"/>
  <c r="V12" i="25"/>
  <c r="U12" i="25"/>
  <c r="T12" i="25"/>
  <c r="S12" i="25"/>
  <c r="Q12" i="25"/>
  <c r="P12" i="25"/>
  <c r="O12" i="25"/>
  <c r="N12" i="25"/>
  <c r="L12" i="25"/>
  <c r="K12" i="25"/>
  <c r="J12" i="25"/>
  <c r="I12" i="25"/>
  <c r="G12" i="25"/>
  <c r="F12" i="25"/>
  <c r="D12" i="25"/>
  <c r="E12" i="25" s="1"/>
  <c r="C12" i="25"/>
  <c r="B12" i="25"/>
  <c r="V11" i="25"/>
  <c r="U11" i="25"/>
  <c r="T11" i="25"/>
  <c r="S11" i="25"/>
  <c r="Q11" i="25"/>
  <c r="P11" i="25"/>
  <c r="O11" i="25"/>
  <c r="N11" i="25"/>
  <c r="L11" i="25"/>
  <c r="K11" i="25"/>
  <c r="J11" i="25"/>
  <c r="I11" i="25"/>
  <c r="G11" i="25"/>
  <c r="F11" i="25"/>
  <c r="D11" i="25"/>
  <c r="C11" i="25"/>
  <c r="B11" i="25"/>
  <c r="X7" i="25"/>
  <c r="V7" i="25"/>
  <c r="T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X5" i="25"/>
  <c r="V22" i="24"/>
  <c r="U22" i="24"/>
  <c r="T22" i="24"/>
  <c r="S22" i="24"/>
  <c r="Q22" i="24"/>
  <c r="R22" i="24" s="1"/>
  <c r="P22" i="24"/>
  <c r="O22" i="24"/>
  <c r="N22" i="24"/>
  <c r="L22" i="24"/>
  <c r="K22" i="24"/>
  <c r="B22" i="24"/>
  <c r="V21" i="24"/>
  <c r="U21" i="24"/>
  <c r="T21" i="24"/>
  <c r="S21" i="24"/>
  <c r="P21" i="24"/>
  <c r="O21" i="24"/>
  <c r="N21" i="24"/>
  <c r="L21" i="24"/>
  <c r="K21" i="24"/>
  <c r="B21" i="24"/>
  <c r="V20" i="24"/>
  <c r="U20" i="24"/>
  <c r="T20" i="24"/>
  <c r="S20" i="24"/>
  <c r="Q20" i="24"/>
  <c r="R20" i="24" s="1"/>
  <c r="P20" i="24"/>
  <c r="O20" i="24"/>
  <c r="N20" i="24"/>
  <c r="L20" i="24"/>
  <c r="K20" i="24"/>
  <c r="B20" i="24"/>
  <c r="V19" i="24"/>
  <c r="U19" i="24"/>
  <c r="T19" i="24"/>
  <c r="S19" i="24"/>
  <c r="P19" i="24"/>
  <c r="O19" i="24"/>
  <c r="N19" i="24"/>
  <c r="L19" i="24"/>
  <c r="K19" i="24"/>
  <c r="B19" i="24"/>
  <c r="V18" i="24"/>
  <c r="U18" i="24"/>
  <c r="T18" i="24"/>
  <c r="S18" i="24"/>
  <c r="P18" i="24"/>
  <c r="O18" i="24"/>
  <c r="N18" i="24"/>
  <c r="L18" i="24"/>
  <c r="K18" i="24"/>
  <c r="B18" i="24"/>
  <c r="V17" i="24"/>
  <c r="U17" i="24"/>
  <c r="T17" i="24"/>
  <c r="S17" i="24"/>
  <c r="P17" i="24"/>
  <c r="O17" i="24"/>
  <c r="N17" i="24"/>
  <c r="L17" i="24"/>
  <c r="K17" i="24"/>
  <c r="B17" i="24"/>
  <c r="V16" i="24"/>
  <c r="U16" i="24"/>
  <c r="T16" i="24"/>
  <c r="S16" i="24"/>
  <c r="P16" i="24"/>
  <c r="O16" i="24"/>
  <c r="N16" i="24"/>
  <c r="L16" i="24"/>
  <c r="K16" i="24"/>
  <c r="B16" i="24"/>
  <c r="V15" i="24"/>
  <c r="U15" i="24"/>
  <c r="T15" i="24"/>
  <c r="S15" i="24"/>
  <c r="P15" i="24"/>
  <c r="O15" i="24"/>
  <c r="N15" i="24"/>
  <c r="L15" i="24"/>
  <c r="K15" i="24"/>
  <c r="B15" i="24"/>
  <c r="V14" i="24"/>
  <c r="U14" i="24"/>
  <c r="T14" i="24"/>
  <c r="S14" i="24"/>
  <c r="P14" i="24"/>
  <c r="O14" i="24"/>
  <c r="N14" i="24"/>
  <c r="L14" i="24"/>
  <c r="K14" i="24"/>
  <c r="B14" i="24"/>
  <c r="V13" i="24"/>
  <c r="U13" i="24"/>
  <c r="T13" i="24"/>
  <c r="S13" i="24"/>
  <c r="Q13" i="24"/>
  <c r="P13" i="24"/>
  <c r="O13" i="24"/>
  <c r="N13" i="24"/>
  <c r="L13" i="24"/>
  <c r="K13" i="24"/>
  <c r="B13" i="24"/>
  <c r="V12" i="24"/>
  <c r="U12" i="24"/>
  <c r="T12" i="24"/>
  <c r="S12" i="24"/>
  <c r="P12" i="24"/>
  <c r="O12" i="24"/>
  <c r="N12" i="24"/>
  <c r="L12" i="24"/>
  <c r="K12" i="24"/>
  <c r="B12" i="24"/>
  <c r="V11" i="24"/>
  <c r="U11" i="24"/>
  <c r="T11" i="24"/>
  <c r="S11" i="24"/>
  <c r="P11" i="24"/>
  <c r="O11" i="24"/>
  <c r="N11" i="24"/>
  <c r="L11" i="24"/>
  <c r="K11" i="24"/>
  <c r="B11" i="24"/>
  <c r="W7" i="24"/>
  <c r="V7" i="24"/>
  <c r="U7" i="24"/>
  <c r="T7" i="24"/>
  <c r="S7" i="24"/>
  <c r="R7" i="24"/>
  <c r="O7" i="24"/>
  <c r="N7" i="24"/>
  <c r="M7" i="24"/>
  <c r="L7" i="24"/>
  <c r="K7" i="24"/>
  <c r="J7" i="24"/>
  <c r="I7" i="24"/>
  <c r="H7" i="24"/>
  <c r="G7" i="24"/>
  <c r="F7" i="24"/>
  <c r="E7" i="24"/>
  <c r="D7" i="24"/>
  <c r="C7" i="24"/>
  <c r="W6" i="24"/>
  <c r="W5" i="24"/>
  <c r="U5" i="24"/>
  <c r="V22" i="23"/>
  <c r="U22" i="23"/>
  <c r="T22" i="23"/>
  <c r="S22" i="23"/>
  <c r="Q22" i="23"/>
  <c r="P22" i="23"/>
  <c r="O22" i="23"/>
  <c r="N22" i="23"/>
  <c r="L22" i="23"/>
  <c r="K22" i="23"/>
  <c r="J22" i="23"/>
  <c r="I22" i="23"/>
  <c r="G22" i="23"/>
  <c r="F22" i="23"/>
  <c r="D22" i="23"/>
  <c r="C22" i="23"/>
  <c r="E22" i="23" s="1"/>
  <c r="B22" i="23"/>
  <c r="V21" i="23"/>
  <c r="U21" i="23"/>
  <c r="T21" i="23"/>
  <c r="S21" i="23"/>
  <c r="Q21" i="23"/>
  <c r="P21" i="23"/>
  <c r="O21" i="23"/>
  <c r="N21" i="23"/>
  <c r="L21" i="23"/>
  <c r="K21" i="23"/>
  <c r="J21" i="23"/>
  <c r="I21" i="23"/>
  <c r="G21" i="23"/>
  <c r="F21" i="23"/>
  <c r="H21" i="23" s="1"/>
  <c r="E21" i="23"/>
  <c r="D21" i="23"/>
  <c r="C21" i="23"/>
  <c r="B21" i="23"/>
  <c r="V20" i="23"/>
  <c r="U20" i="23"/>
  <c r="T20" i="23"/>
  <c r="S20" i="23"/>
  <c r="Q20" i="23"/>
  <c r="P20" i="23"/>
  <c r="O20" i="23"/>
  <c r="N20" i="23"/>
  <c r="L20" i="23"/>
  <c r="K20" i="23"/>
  <c r="J20" i="23"/>
  <c r="I20" i="23"/>
  <c r="G20" i="23"/>
  <c r="F20" i="23"/>
  <c r="D20" i="23"/>
  <c r="C20" i="23"/>
  <c r="B20" i="23"/>
  <c r="V19" i="23"/>
  <c r="U19" i="23"/>
  <c r="T19" i="23"/>
  <c r="S19" i="23"/>
  <c r="Q19" i="23"/>
  <c r="P19" i="23"/>
  <c r="O19" i="23"/>
  <c r="N19" i="23"/>
  <c r="L19" i="23"/>
  <c r="K19" i="23"/>
  <c r="J19" i="23"/>
  <c r="I19" i="23"/>
  <c r="G19" i="23"/>
  <c r="F19" i="23"/>
  <c r="D19" i="23"/>
  <c r="C19" i="23"/>
  <c r="B19" i="23"/>
  <c r="V18" i="23"/>
  <c r="U18" i="23"/>
  <c r="T18" i="23"/>
  <c r="S18" i="23"/>
  <c r="Q18" i="23"/>
  <c r="P18" i="23"/>
  <c r="O18" i="23"/>
  <c r="N18" i="23"/>
  <c r="L18" i="23"/>
  <c r="K18" i="23"/>
  <c r="J18" i="23"/>
  <c r="I18" i="23"/>
  <c r="G18" i="23"/>
  <c r="F18" i="23"/>
  <c r="D18" i="23"/>
  <c r="C18" i="23"/>
  <c r="E18" i="23" s="1"/>
  <c r="B18" i="23"/>
  <c r="V17" i="23"/>
  <c r="U17" i="23"/>
  <c r="T17" i="23"/>
  <c r="S17" i="23"/>
  <c r="Q17" i="23"/>
  <c r="P17" i="23"/>
  <c r="O17" i="23"/>
  <c r="N17" i="23"/>
  <c r="L17" i="23"/>
  <c r="K17" i="23"/>
  <c r="J17" i="23"/>
  <c r="I17" i="23"/>
  <c r="G17" i="23"/>
  <c r="F17" i="23"/>
  <c r="D17" i="23"/>
  <c r="C17" i="23"/>
  <c r="B17" i="23"/>
  <c r="V16" i="23"/>
  <c r="U16" i="23"/>
  <c r="T16" i="23"/>
  <c r="S16" i="23"/>
  <c r="Q16" i="23"/>
  <c r="P16" i="23"/>
  <c r="O16" i="23"/>
  <c r="N16" i="23"/>
  <c r="L16" i="23"/>
  <c r="K16" i="23"/>
  <c r="J16" i="23"/>
  <c r="I16" i="23"/>
  <c r="G16" i="23"/>
  <c r="F16" i="23"/>
  <c r="D16" i="23"/>
  <c r="C16" i="23"/>
  <c r="B16" i="23"/>
  <c r="V15" i="23"/>
  <c r="U15" i="23"/>
  <c r="T15" i="23"/>
  <c r="S15" i="23"/>
  <c r="Q15" i="23"/>
  <c r="P15" i="23"/>
  <c r="O15" i="23"/>
  <c r="N15" i="23"/>
  <c r="L15" i="23"/>
  <c r="K15" i="23"/>
  <c r="J15" i="23"/>
  <c r="I15" i="23"/>
  <c r="G15" i="23"/>
  <c r="F15" i="23"/>
  <c r="D15" i="23"/>
  <c r="C15" i="23"/>
  <c r="B15" i="23"/>
  <c r="V14" i="23"/>
  <c r="U14" i="23"/>
  <c r="T14" i="23"/>
  <c r="S14" i="23"/>
  <c r="Q14" i="23"/>
  <c r="P14" i="23"/>
  <c r="O14" i="23"/>
  <c r="N14" i="23"/>
  <c r="L14" i="23"/>
  <c r="K14" i="23"/>
  <c r="J14" i="23"/>
  <c r="I14" i="23"/>
  <c r="G14" i="23"/>
  <c r="H14" i="23" s="1"/>
  <c r="F14" i="23"/>
  <c r="D14" i="23"/>
  <c r="C14" i="23"/>
  <c r="B14" i="23"/>
  <c r="V13" i="23"/>
  <c r="U13" i="23"/>
  <c r="T13" i="23"/>
  <c r="S13" i="23"/>
  <c r="Q13" i="23"/>
  <c r="P13" i="23"/>
  <c r="O13" i="23"/>
  <c r="N13" i="23"/>
  <c r="L13" i="23"/>
  <c r="K13" i="23"/>
  <c r="J13" i="23"/>
  <c r="I13" i="23"/>
  <c r="G13" i="23"/>
  <c r="F13" i="23"/>
  <c r="D13" i="23"/>
  <c r="C13" i="23"/>
  <c r="B13" i="23"/>
  <c r="V12" i="23"/>
  <c r="U12" i="23"/>
  <c r="T12" i="23"/>
  <c r="S12" i="23"/>
  <c r="Q12" i="23"/>
  <c r="P12" i="23"/>
  <c r="O12" i="23"/>
  <c r="N12" i="23"/>
  <c r="L12" i="23"/>
  <c r="K12" i="23"/>
  <c r="J12" i="23"/>
  <c r="I12" i="23"/>
  <c r="G12" i="23"/>
  <c r="F12" i="23"/>
  <c r="D12" i="23"/>
  <c r="C12" i="23"/>
  <c r="B12" i="23"/>
  <c r="V11" i="23"/>
  <c r="U11" i="23"/>
  <c r="T11" i="23"/>
  <c r="S11" i="23"/>
  <c r="Q11" i="23"/>
  <c r="P11" i="23"/>
  <c r="O11" i="23"/>
  <c r="N11" i="23"/>
  <c r="L11" i="23"/>
  <c r="K11" i="23"/>
  <c r="J11" i="23"/>
  <c r="I11" i="23"/>
  <c r="G11" i="23"/>
  <c r="F11" i="23"/>
  <c r="D11" i="23"/>
  <c r="C11" i="23"/>
  <c r="B11" i="23"/>
  <c r="X7" i="23"/>
  <c r="V7" i="23"/>
  <c r="T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X5" i="23"/>
  <c r="V22" i="22"/>
  <c r="U22" i="22"/>
  <c r="T22" i="22"/>
  <c r="S22" i="22"/>
  <c r="P22" i="22"/>
  <c r="O22" i="22"/>
  <c r="N22" i="22"/>
  <c r="L22" i="22"/>
  <c r="K22" i="22"/>
  <c r="B22" i="22"/>
  <c r="V21" i="22"/>
  <c r="U21" i="22"/>
  <c r="T21" i="22"/>
  <c r="S21" i="22"/>
  <c r="P21" i="22"/>
  <c r="O21" i="22"/>
  <c r="N21" i="22"/>
  <c r="L21" i="22"/>
  <c r="K21" i="22"/>
  <c r="B21" i="22"/>
  <c r="V20" i="22"/>
  <c r="U20" i="22"/>
  <c r="T20" i="22"/>
  <c r="S20" i="22"/>
  <c r="P20" i="22"/>
  <c r="O20" i="22"/>
  <c r="N20" i="22"/>
  <c r="L20" i="22"/>
  <c r="K20" i="22"/>
  <c r="B20" i="22"/>
  <c r="V19" i="22"/>
  <c r="U19" i="22"/>
  <c r="T19" i="22"/>
  <c r="S19" i="22"/>
  <c r="P19" i="22"/>
  <c r="O19" i="22"/>
  <c r="N19" i="22"/>
  <c r="L19" i="22"/>
  <c r="K19" i="22"/>
  <c r="B19" i="22"/>
  <c r="V18" i="22"/>
  <c r="U18" i="22"/>
  <c r="T18" i="22"/>
  <c r="S18" i="22"/>
  <c r="P18" i="22"/>
  <c r="O18" i="22"/>
  <c r="N18" i="22"/>
  <c r="L18" i="22"/>
  <c r="K18" i="22"/>
  <c r="B18" i="22"/>
  <c r="V17" i="22"/>
  <c r="U17" i="22"/>
  <c r="T17" i="22"/>
  <c r="S17" i="22"/>
  <c r="P17" i="22"/>
  <c r="O17" i="22"/>
  <c r="N17" i="22"/>
  <c r="L17" i="22"/>
  <c r="K17" i="22"/>
  <c r="B17" i="22"/>
  <c r="V16" i="22"/>
  <c r="U16" i="22"/>
  <c r="T16" i="22"/>
  <c r="S16" i="22"/>
  <c r="P16" i="22"/>
  <c r="O16" i="22"/>
  <c r="N16" i="22"/>
  <c r="L16" i="22"/>
  <c r="K16" i="22"/>
  <c r="B16" i="22"/>
  <c r="V15" i="22"/>
  <c r="U15" i="22"/>
  <c r="T15" i="22"/>
  <c r="S15" i="22"/>
  <c r="P15" i="22"/>
  <c r="O15" i="22"/>
  <c r="N15" i="22"/>
  <c r="L15" i="22"/>
  <c r="K15" i="22"/>
  <c r="B15" i="22"/>
  <c r="V14" i="22"/>
  <c r="U14" i="22"/>
  <c r="T14" i="22"/>
  <c r="S14" i="22"/>
  <c r="P14" i="22"/>
  <c r="O14" i="22"/>
  <c r="N14" i="22"/>
  <c r="L14" i="22"/>
  <c r="K14" i="22"/>
  <c r="B14" i="22"/>
  <c r="V13" i="22"/>
  <c r="U13" i="22"/>
  <c r="T13" i="22"/>
  <c r="S13" i="22"/>
  <c r="Q13" i="22"/>
  <c r="R13" i="22" s="1"/>
  <c r="P13" i="22"/>
  <c r="O13" i="22"/>
  <c r="N13" i="22"/>
  <c r="L13" i="22"/>
  <c r="K13" i="22"/>
  <c r="B13" i="22"/>
  <c r="V12" i="22"/>
  <c r="U12" i="22"/>
  <c r="T12" i="22"/>
  <c r="S12" i="22"/>
  <c r="P12" i="22"/>
  <c r="O12" i="22"/>
  <c r="N12" i="22"/>
  <c r="L12" i="22"/>
  <c r="K12" i="22"/>
  <c r="I12" i="22"/>
  <c r="B12" i="22"/>
  <c r="V11" i="22"/>
  <c r="U11" i="22"/>
  <c r="T11" i="22"/>
  <c r="T5" i="22" s="1"/>
  <c r="S11" i="22"/>
  <c r="P11" i="22"/>
  <c r="O11" i="22"/>
  <c r="N11" i="22"/>
  <c r="L11" i="22"/>
  <c r="K11" i="22"/>
  <c r="B11" i="22"/>
  <c r="W7" i="22"/>
  <c r="V7" i="22"/>
  <c r="U7" i="22"/>
  <c r="T7" i="22"/>
  <c r="S7" i="22"/>
  <c r="R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W6" i="22"/>
  <c r="W5" i="22"/>
  <c r="U5" i="22"/>
  <c r="V22" i="21"/>
  <c r="U22" i="21"/>
  <c r="T22" i="21"/>
  <c r="S22" i="21"/>
  <c r="Q22" i="21"/>
  <c r="P22" i="21"/>
  <c r="O22" i="21"/>
  <c r="N22" i="21"/>
  <c r="M22" i="21"/>
  <c r="L22" i="21"/>
  <c r="K22" i="21"/>
  <c r="J22" i="21"/>
  <c r="I22" i="21"/>
  <c r="G22" i="21"/>
  <c r="F22" i="21"/>
  <c r="D22" i="21"/>
  <c r="C22" i="21"/>
  <c r="B22" i="21"/>
  <c r="V21" i="21"/>
  <c r="U21" i="21"/>
  <c r="T21" i="21"/>
  <c r="S21" i="21"/>
  <c r="Q21" i="21"/>
  <c r="P21" i="21"/>
  <c r="O21" i="21"/>
  <c r="N21" i="21"/>
  <c r="L21" i="21"/>
  <c r="K21" i="21"/>
  <c r="J21" i="21"/>
  <c r="I21" i="21"/>
  <c r="G21" i="21"/>
  <c r="F21" i="21"/>
  <c r="D21" i="21"/>
  <c r="C21" i="21"/>
  <c r="B21" i="21"/>
  <c r="V20" i="21"/>
  <c r="U20" i="21"/>
  <c r="T20" i="21"/>
  <c r="S20" i="21"/>
  <c r="Q20" i="21"/>
  <c r="P20" i="21"/>
  <c r="O20" i="21"/>
  <c r="N20" i="21"/>
  <c r="L20" i="21"/>
  <c r="K20" i="21"/>
  <c r="J20" i="21"/>
  <c r="I20" i="21"/>
  <c r="G20" i="21"/>
  <c r="F20" i="21"/>
  <c r="D20" i="21"/>
  <c r="C20" i="21"/>
  <c r="E20" i="21" s="1"/>
  <c r="B20" i="21"/>
  <c r="V19" i="21"/>
  <c r="U19" i="21"/>
  <c r="T19" i="21"/>
  <c r="S19" i="21"/>
  <c r="Q19" i="21"/>
  <c r="P19" i="21"/>
  <c r="O19" i="21"/>
  <c r="N19" i="21"/>
  <c r="L19" i="21"/>
  <c r="K19" i="21"/>
  <c r="J19" i="21"/>
  <c r="I19" i="21"/>
  <c r="G19" i="21"/>
  <c r="F19" i="21"/>
  <c r="D19" i="21"/>
  <c r="C19" i="21"/>
  <c r="B19" i="21"/>
  <c r="V18" i="21"/>
  <c r="U18" i="21"/>
  <c r="T18" i="21"/>
  <c r="S18" i="21"/>
  <c r="Q18" i="21"/>
  <c r="P18" i="21"/>
  <c r="O18" i="21"/>
  <c r="N18" i="21"/>
  <c r="L18" i="21"/>
  <c r="K18" i="21"/>
  <c r="J18" i="21"/>
  <c r="I18" i="21"/>
  <c r="G18" i="21"/>
  <c r="F18" i="21"/>
  <c r="D18" i="21"/>
  <c r="C18" i="21"/>
  <c r="E18" i="21" s="1"/>
  <c r="B18" i="21"/>
  <c r="V17" i="21"/>
  <c r="U17" i="21"/>
  <c r="T17" i="21"/>
  <c r="S17" i="21"/>
  <c r="Q17" i="21"/>
  <c r="P17" i="21"/>
  <c r="O17" i="21"/>
  <c r="N17" i="21"/>
  <c r="M17" i="21"/>
  <c r="L17" i="21"/>
  <c r="K17" i="21"/>
  <c r="J17" i="21"/>
  <c r="I17" i="21"/>
  <c r="G17" i="21"/>
  <c r="F17" i="21"/>
  <c r="D17" i="21"/>
  <c r="C17" i="21"/>
  <c r="B17" i="21"/>
  <c r="V16" i="21"/>
  <c r="U16" i="21"/>
  <c r="T16" i="21"/>
  <c r="S16" i="21"/>
  <c r="Q16" i="21"/>
  <c r="P16" i="21"/>
  <c r="O16" i="21"/>
  <c r="N16" i="21"/>
  <c r="L16" i="21"/>
  <c r="K16" i="21"/>
  <c r="J16" i="21"/>
  <c r="I16" i="21"/>
  <c r="G16" i="21"/>
  <c r="F16" i="21"/>
  <c r="D16" i="21"/>
  <c r="C16" i="21"/>
  <c r="B16" i="21"/>
  <c r="V15" i="21"/>
  <c r="U15" i="21"/>
  <c r="T15" i="21"/>
  <c r="S15" i="21"/>
  <c r="Q15" i="21"/>
  <c r="P15" i="21"/>
  <c r="O15" i="21"/>
  <c r="N15" i="21"/>
  <c r="L15" i="21"/>
  <c r="K15" i="21"/>
  <c r="J15" i="21"/>
  <c r="I15" i="21"/>
  <c r="G15" i="21"/>
  <c r="H15" i="21" s="1"/>
  <c r="F15" i="21"/>
  <c r="D15" i="21"/>
  <c r="C15" i="21"/>
  <c r="B15" i="21"/>
  <c r="V14" i="21"/>
  <c r="U14" i="21"/>
  <c r="T14" i="21"/>
  <c r="S14" i="21"/>
  <c r="Q14" i="21"/>
  <c r="P14" i="21"/>
  <c r="O14" i="21"/>
  <c r="N14" i="21"/>
  <c r="L14" i="21"/>
  <c r="K14" i="21"/>
  <c r="J14" i="21"/>
  <c r="I14" i="21"/>
  <c r="G14" i="21"/>
  <c r="F14" i="21"/>
  <c r="D14" i="21"/>
  <c r="C14" i="21"/>
  <c r="B14" i="21"/>
  <c r="V13" i="21"/>
  <c r="U13" i="21"/>
  <c r="T13" i="21"/>
  <c r="S13" i="21"/>
  <c r="Q13" i="21"/>
  <c r="P13" i="21"/>
  <c r="O13" i="21"/>
  <c r="N13" i="21"/>
  <c r="L13" i="21"/>
  <c r="K13" i="21"/>
  <c r="J13" i="21"/>
  <c r="I13" i="21"/>
  <c r="G13" i="21"/>
  <c r="F13" i="21"/>
  <c r="D13" i="21"/>
  <c r="C13" i="21"/>
  <c r="B13" i="21"/>
  <c r="V12" i="21"/>
  <c r="U12" i="21"/>
  <c r="T12" i="21"/>
  <c r="S12" i="21"/>
  <c r="Q12" i="21"/>
  <c r="P12" i="21"/>
  <c r="O12" i="21"/>
  <c r="N12" i="21"/>
  <c r="L12" i="21"/>
  <c r="K12" i="21"/>
  <c r="J12" i="21"/>
  <c r="I12" i="21"/>
  <c r="G12" i="21"/>
  <c r="F12" i="21"/>
  <c r="D12" i="21"/>
  <c r="C12" i="21"/>
  <c r="B12" i="21"/>
  <c r="V11" i="21"/>
  <c r="U11" i="21"/>
  <c r="T11" i="21"/>
  <c r="S11" i="21"/>
  <c r="Q11" i="21"/>
  <c r="P11" i="21"/>
  <c r="O11" i="21"/>
  <c r="N11" i="21"/>
  <c r="L11" i="21"/>
  <c r="K11" i="21"/>
  <c r="J11" i="21"/>
  <c r="I11" i="21"/>
  <c r="G11" i="21"/>
  <c r="F11" i="21"/>
  <c r="D11" i="21"/>
  <c r="C11" i="21"/>
  <c r="B11" i="21"/>
  <c r="X7" i="21"/>
  <c r="V7" i="21"/>
  <c r="T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X5" i="21"/>
  <c r="V22" i="20"/>
  <c r="U22" i="20"/>
  <c r="T22" i="20"/>
  <c r="S22" i="20"/>
  <c r="P22" i="20"/>
  <c r="O22" i="20"/>
  <c r="N22" i="20"/>
  <c r="M22" i="20"/>
  <c r="L22" i="20"/>
  <c r="K22" i="20"/>
  <c r="B22" i="20"/>
  <c r="V21" i="20"/>
  <c r="U21" i="20"/>
  <c r="T21" i="20"/>
  <c r="T5" i="20" s="1"/>
  <c r="S21" i="20"/>
  <c r="P21" i="20"/>
  <c r="O21" i="20"/>
  <c r="N21" i="20"/>
  <c r="L21" i="20"/>
  <c r="K21" i="20"/>
  <c r="B21" i="20"/>
  <c r="V20" i="20"/>
  <c r="U20" i="20"/>
  <c r="T20" i="20"/>
  <c r="S20" i="20"/>
  <c r="P20" i="20"/>
  <c r="O20" i="20"/>
  <c r="N20" i="20"/>
  <c r="L20" i="20"/>
  <c r="K20" i="20"/>
  <c r="B20" i="20"/>
  <c r="V19" i="20"/>
  <c r="U19" i="20"/>
  <c r="T19" i="20"/>
  <c r="S19" i="20"/>
  <c r="P19" i="20"/>
  <c r="O19" i="20"/>
  <c r="N19" i="20"/>
  <c r="L19" i="20"/>
  <c r="K19" i="20"/>
  <c r="B19" i="20"/>
  <c r="V18" i="20"/>
  <c r="U18" i="20"/>
  <c r="T18" i="20"/>
  <c r="S18" i="20"/>
  <c r="P18" i="20"/>
  <c r="O18" i="20"/>
  <c r="N18" i="20"/>
  <c r="L18" i="20"/>
  <c r="K18" i="20"/>
  <c r="B18" i="20"/>
  <c r="V17" i="20"/>
  <c r="U17" i="20"/>
  <c r="T17" i="20"/>
  <c r="S17" i="20"/>
  <c r="P17" i="20"/>
  <c r="O17" i="20"/>
  <c r="N17" i="20"/>
  <c r="L17" i="20"/>
  <c r="K17" i="20"/>
  <c r="B17" i="20"/>
  <c r="V16" i="20"/>
  <c r="U16" i="20"/>
  <c r="T16" i="20"/>
  <c r="S16" i="20"/>
  <c r="P16" i="20"/>
  <c r="O16" i="20"/>
  <c r="N16" i="20"/>
  <c r="L16" i="20"/>
  <c r="K16" i="20"/>
  <c r="B16" i="20"/>
  <c r="V15" i="20"/>
  <c r="U15" i="20"/>
  <c r="T15" i="20"/>
  <c r="S15" i="20"/>
  <c r="P15" i="20"/>
  <c r="O15" i="20"/>
  <c r="N15" i="20"/>
  <c r="L15" i="20"/>
  <c r="K15" i="20"/>
  <c r="B15" i="20"/>
  <c r="V14" i="20"/>
  <c r="U14" i="20"/>
  <c r="T14" i="20"/>
  <c r="S14" i="20"/>
  <c r="P14" i="20"/>
  <c r="O14" i="20"/>
  <c r="N14" i="20"/>
  <c r="L14" i="20"/>
  <c r="K14" i="20"/>
  <c r="B14" i="20"/>
  <c r="V13" i="20"/>
  <c r="U13" i="20"/>
  <c r="T13" i="20"/>
  <c r="S13" i="20"/>
  <c r="P13" i="20"/>
  <c r="O13" i="20"/>
  <c r="N13" i="20"/>
  <c r="L13" i="20"/>
  <c r="K13" i="20"/>
  <c r="B13" i="20"/>
  <c r="V12" i="20"/>
  <c r="U12" i="20"/>
  <c r="U5" i="20" s="1"/>
  <c r="T12" i="20"/>
  <c r="S12" i="20"/>
  <c r="P12" i="20"/>
  <c r="O12" i="20"/>
  <c r="N12" i="20"/>
  <c r="L12" i="20"/>
  <c r="K12" i="20"/>
  <c r="B12" i="20"/>
  <c r="V11" i="20"/>
  <c r="U11" i="20"/>
  <c r="T11" i="20"/>
  <c r="S11" i="20"/>
  <c r="P11" i="20"/>
  <c r="O11" i="20"/>
  <c r="N11" i="20"/>
  <c r="L11" i="20"/>
  <c r="K11" i="20"/>
  <c r="B11" i="20"/>
  <c r="W7" i="20"/>
  <c r="V7" i="20"/>
  <c r="U7" i="20"/>
  <c r="T7" i="20"/>
  <c r="S7" i="20"/>
  <c r="R7" i="20"/>
  <c r="O7" i="20"/>
  <c r="N7" i="20"/>
  <c r="M7" i="20"/>
  <c r="L7" i="20"/>
  <c r="K7" i="20"/>
  <c r="J7" i="20"/>
  <c r="I7" i="20"/>
  <c r="H7" i="20"/>
  <c r="G7" i="20"/>
  <c r="F7" i="20"/>
  <c r="E7" i="20"/>
  <c r="D7" i="20"/>
  <c r="C7" i="20"/>
  <c r="W6" i="20"/>
  <c r="W5" i="20"/>
  <c r="V22" i="19"/>
  <c r="U22" i="19"/>
  <c r="T22" i="19"/>
  <c r="S22" i="19"/>
  <c r="Q22" i="19"/>
  <c r="P22" i="19"/>
  <c r="O22" i="19"/>
  <c r="N22" i="19"/>
  <c r="M22" i="19"/>
  <c r="L22" i="19"/>
  <c r="K22" i="19"/>
  <c r="J22" i="19"/>
  <c r="I22" i="19"/>
  <c r="G22" i="19"/>
  <c r="F22" i="19"/>
  <c r="D22" i="19"/>
  <c r="C22" i="19"/>
  <c r="B22" i="19"/>
  <c r="V21" i="19"/>
  <c r="U21" i="19"/>
  <c r="T21" i="19"/>
  <c r="S21" i="19"/>
  <c r="Q21" i="19"/>
  <c r="P21" i="19"/>
  <c r="O21" i="19"/>
  <c r="N21" i="19"/>
  <c r="L21" i="19"/>
  <c r="K21" i="19"/>
  <c r="J21" i="19"/>
  <c r="I21" i="19"/>
  <c r="G21" i="19"/>
  <c r="F21" i="19"/>
  <c r="D21" i="19"/>
  <c r="C21" i="19"/>
  <c r="B21" i="19"/>
  <c r="V20" i="19"/>
  <c r="U20" i="19"/>
  <c r="T20" i="19"/>
  <c r="S20" i="19"/>
  <c r="Q20" i="19"/>
  <c r="P20" i="19"/>
  <c r="O20" i="19"/>
  <c r="N20" i="19"/>
  <c r="L20" i="19"/>
  <c r="K20" i="19"/>
  <c r="J20" i="19"/>
  <c r="I20" i="19"/>
  <c r="G20" i="19"/>
  <c r="F20" i="19"/>
  <c r="D20" i="19"/>
  <c r="C20" i="19"/>
  <c r="B20" i="19"/>
  <c r="V19" i="19"/>
  <c r="U19" i="19"/>
  <c r="T19" i="19"/>
  <c r="S19" i="19"/>
  <c r="Q19" i="19"/>
  <c r="P19" i="19"/>
  <c r="O19" i="19"/>
  <c r="N19" i="19"/>
  <c r="L19" i="19"/>
  <c r="K19" i="19"/>
  <c r="J19" i="19"/>
  <c r="I19" i="19"/>
  <c r="G19" i="19"/>
  <c r="F19" i="19"/>
  <c r="D19" i="19"/>
  <c r="C19" i="19"/>
  <c r="B19" i="19"/>
  <c r="V18" i="19"/>
  <c r="U18" i="19"/>
  <c r="T18" i="19"/>
  <c r="S18" i="19"/>
  <c r="Q18" i="19"/>
  <c r="P18" i="19"/>
  <c r="O18" i="19"/>
  <c r="N18" i="19"/>
  <c r="L18" i="19"/>
  <c r="K18" i="19"/>
  <c r="J18" i="19"/>
  <c r="I18" i="19"/>
  <c r="G18" i="19"/>
  <c r="F18" i="19"/>
  <c r="D18" i="19"/>
  <c r="C18" i="19"/>
  <c r="B18" i="19"/>
  <c r="V17" i="19"/>
  <c r="U17" i="19"/>
  <c r="T17" i="19"/>
  <c r="S17" i="19"/>
  <c r="Q17" i="19"/>
  <c r="P17" i="19"/>
  <c r="O17" i="19"/>
  <c r="N17" i="19"/>
  <c r="L17" i="19"/>
  <c r="K17" i="19"/>
  <c r="J17" i="19"/>
  <c r="I17" i="19"/>
  <c r="G17" i="19"/>
  <c r="F17" i="19"/>
  <c r="D17" i="19"/>
  <c r="C17" i="19"/>
  <c r="B17" i="19"/>
  <c r="V16" i="19"/>
  <c r="U16" i="19"/>
  <c r="T16" i="19"/>
  <c r="S16" i="19"/>
  <c r="Q16" i="19"/>
  <c r="P16" i="19"/>
  <c r="O16" i="19"/>
  <c r="N16" i="19"/>
  <c r="L16" i="19"/>
  <c r="K16" i="19"/>
  <c r="J16" i="19"/>
  <c r="I16" i="19"/>
  <c r="G16" i="19"/>
  <c r="F16" i="19"/>
  <c r="D16" i="19"/>
  <c r="C16" i="19"/>
  <c r="B16" i="19"/>
  <c r="V15" i="19"/>
  <c r="U15" i="19"/>
  <c r="T15" i="19"/>
  <c r="S15" i="19"/>
  <c r="Q15" i="19"/>
  <c r="P15" i="19"/>
  <c r="O15" i="19"/>
  <c r="N15" i="19"/>
  <c r="L15" i="19"/>
  <c r="K15" i="19"/>
  <c r="J15" i="19"/>
  <c r="I15" i="19"/>
  <c r="G15" i="19"/>
  <c r="F15" i="19"/>
  <c r="D15" i="19"/>
  <c r="C15" i="19"/>
  <c r="B15" i="19"/>
  <c r="V14" i="19"/>
  <c r="U14" i="19"/>
  <c r="T14" i="19"/>
  <c r="S14" i="19"/>
  <c r="Q14" i="19"/>
  <c r="P14" i="19"/>
  <c r="O14" i="19"/>
  <c r="N14" i="19"/>
  <c r="L14" i="19"/>
  <c r="K14" i="19"/>
  <c r="J14" i="19"/>
  <c r="I14" i="19"/>
  <c r="G14" i="19"/>
  <c r="F14" i="19"/>
  <c r="D14" i="19"/>
  <c r="C14" i="19"/>
  <c r="B14" i="19"/>
  <c r="V13" i="19"/>
  <c r="U13" i="19"/>
  <c r="T13" i="19"/>
  <c r="S13" i="19"/>
  <c r="Q13" i="19"/>
  <c r="P13" i="19"/>
  <c r="O13" i="19"/>
  <c r="N13" i="19"/>
  <c r="L13" i="19"/>
  <c r="K13" i="19"/>
  <c r="J13" i="19"/>
  <c r="I13" i="19"/>
  <c r="G13" i="19"/>
  <c r="F13" i="19"/>
  <c r="D13" i="19"/>
  <c r="C13" i="19"/>
  <c r="B13" i="19"/>
  <c r="V12" i="19"/>
  <c r="U12" i="19"/>
  <c r="T12" i="19"/>
  <c r="S12" i="19"/>
  <c r="Q12" i="19"/>
  <c r="P12" i="19"/>
  <c r="O12" i="19"/>
  <c r="N12" i="19"/>
  <c r="L12" i="19"/>
  <c r="K12" i="19"/>
  <c r="J12" i="19"/>
  <c r="I12" i="19"/>
  <c r="G12" i="19"/>
  <c r="F12" i="19"/>
  <c r="D12" i="19"/>
  <c r="C12" i="19"/>
  <c r="B12" i="19"/>
  <c r="V11" i="19"/>
  <c r="U11" i="19"/>
  <c r="T11" i="19"/>
  <c r="S11" i="19"/>
  <c r="Q11" i="19"/>
  <c r="P11" i="19"/>
  <c r="O11" i="19"/>
  <c r="N11" i="19"/>
  <c r="L11" i="19"/>
  <c r="K11" i="19"/>
  <c r="J11" i="19"/>
  <c r="I11" i="19"/>
  <c r="G11" i="19"/>
  <c r="F11" i="19"/>
  <c r="D11" i="19"/>
  <c r="C11" i="19"/>
  <c r="B11" i="19"/>
  <c r="X7" i="19"/>
  <c r="V7" i="19"/>
  <c r="T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X5" i="19"/>
  <c r="O22" i="18"/>
  <c r="N22" i="18"/>
  <c r="L22" i="18"/>
  <c r="M22" i="18" s="1"/>
  <c r="K22" i="18"/>
  <c r="J22" i="18"/>
  <c r="J22" i="26" s="1"/>
  <c r="I22" i="18"/>
  <c r="I22" i="26" s="1"/>
  <c r="H22" i="18"/>
  <c r="G22" i="18"/>
  <c r="G22" i="26" s="1"/>
  <c r="F22" i="18"/>
  <c r="F22" i="26" s="1"/>
  <c r="D22" i="18"/>
  <c r="C22" i="18"/>
  <c r="C22" i="26" s="1"/>
  <c r="B22" i="18"/>
  <c r="O21" i="18"/>
  <c r="N21" i="18"/>
  <c r="L21" i="18"/>
  <c r="M21" i="18" s="1"/>
  <c r="K21" i="18"/>
  <c r="J21" i="18"/>
  <c r="I21" i="18"/>
  <c r="I21" i="26" s="1"/>
  <c r="G21" i="18"/>
  <c r="G21" i="26" s="1"/>
  <c r="F21" i="18"/>
  <c r="F21" i="26" s="1"/>
  <c r="D21" i="18"/>
  <c r="D21" i="26" s="1"/>
  <c r="C21" i="18"/>
  <c r="C21" i="26" s="1"/>
  <c r="B21" i="18"/>
  <c r="O20" i="18"/>
  <c r="N20" i="18"/>
  <c r="L20" i="18"/>
  <c r="K20" i="18"/>
  <c r="J20" i="18"/>
  <c r="J20" i="26" s="1"/>
  <c r="I20" i="18"/>
  <c r="I20" i="26" s="1"/>
  <c r="G20" i="18"/>
  <c r="G20" i="26" s="1"/>
  <c r="F20" i="18"/>
  <c r="F20" i="26" s="1"/>
  <c r="D20" i="18"/>
  <c r="D20" i="26" s="1"/>
  <c r="C20" i="18"/>
  <c r="C20" i="26" s="1"/>
  <c r="B20" i="18"/>
  <c r="O19" i="18"/>
  <c r="N19" i="18"/>
  <c r="L19" i="18"/>
  <c r="M19" i="18" s="1"/>
  <c r="K19" i="18"/>
  <c r="J19" i="18"/>
  <c r="J19" i="26" s="1"/>
  <c r="I19" i="18"/>
  <c r="I19" i="26" s="1"/>
  <c r="G19" i="18"/>
  <c r="G19" i="26" s="1"/>
  <c r="F19" i="18"/>
  <c r="F19" i="26" s="1"/>
  <c r="D19" i="18"/>
  <c r="C19" i="18"/>
  <c r="C19" i="26" s="1"/>
  <c r="B19" i="18"/>
  <c r="O18" i="18"/>
  <c r="N18" i="18"/>
  <c r="L18" i="18"/>
  <c r="K18" i="18"/>
  <c r="J18" i="18"/>
  <c r="J18" i="26" s="1"/>
  <c r="I18" i="18"/>
  <c r="I18" i="26" s="1"/>
  <c r="G18" i="18"/>
  <c r="F18" i="18"/>
  <c r="F18" i="26" s="1"/>
  <c r="D18" i="18"/>
  <c r="C18" i="18"/>
  <c r="C18" i="26" s="1"/>
  <c r="B18" i="18"/>
  <c r="O17" i="18"/>
  <c r="N17" i="18"/>
  <c r="L17" i="18"/>
  <c r="K17" i="18"/>
  <c r="J17" i="18"/>
  <c r="J17" i="26" s="1"/>
  <c r="I17" i="18"/>
  <c r="I17" i="26" s="1"/>
  <c r="G17" i="18"/>
  <c r="G17" i="26" s="1"/>
  <c r="F17" i="18"/>
  <c r="D17" i="18"/>
  <c r="D17" i="26" s="1"/>
  <c r="C17" i="18"/>
  <c r="C17" i="26" s="1"/>
  <c r="B17" i="18"/>
  <c r="O16" i="18"/>
  <c r="N16" i="18"/>
  <c r="L16" i="18"/>
  <c r="K16" i="18"/>
  <c r="J16" i="18"/>
  <c r="I16" i="18"/>
  <c r="I16" i="26" s="1"/>
  <c r="G16" i="18"/>
  <c r="G16" i="26" s="1"/>
  <c r="H16" i="26" s="1"/>
  <c r="F16" i="18"/>
  <c r="F16" i="26" s="1"/>
  <c r="D16" i="18"/>
  <c r="D16" i="26" s="1"/>
  <c r="C16" i="18"/>
  <c r="C16" i="26" s="1"/>
  <c r="B16" i="18"/>
  <c r="O15" i="18"/>
  <c r="N15" i="18"/>
  <c r="L15" i="18"/>
  <c r="K15" i="18"/>
  <c r="J15" i="18"/>
  <c r="J15" i="26" s="1"/>
  <c r="I15" i="18"/>
  <c r="I15" i="26" s="1"/>
  <c r="G15" i="18"/>
  <c r="G15" i="26" s="1"/>
  <c r="F15" i="18"/>
  <c r="F15" i="26" s="1"/>
  <c r="D15" i="18"/>
  <c r="D15" i="26" s="1"/>
  <c r="C15" i="18"/>
  <c r="C15" i="26" s="1"/>
  <c r="B15" i="18"/>
  <c r="O14" i="18"/>
  <c r="N14" i="18"/>
  <c r="L14" i="18"/>
  <c r="K14" i="18"/>
  <c r="J14" i="18"/>
  <c r="J14" i="26" s="1"/>
  <c r="I14" i="18"/>
  <c r="I14" i="26" s="1"/>
  <c r="G14" i="18"/>
  <c r="G14" i="26" s="1"/>
  <c r="F14" i="18"/>
  <c r="F14" i="26" s="1"/>
  <c r="D14" i="18"/>
  <c r="D14" i="26" s="1"/>
  <c r="C14" i="18"/>
  <c r="C14" i="26" s="1"/>
  <c r="B14" i="18"/>
  <c r="O13" i="18"/>
  <c r="J13" i="2" s="1"/>
  <c r="N13" i="18"/>
  <c r="L13" i="18"/>
  <c r="H13" i="2" s="1"/>
  <c r="K13" i="18"/>
  <c r="J13" i="18"/>
  <c r="J13" i="26" s="1"/>
  <c r="I13" i="18"/>
  <c r="I13" i="26" s="1"/>
  <c r="G13" i="18"/>
  <c r="G13" i="26" s="1"/>
  <c r="H13" i="26" s="1"/>
  <c r="F13" i="18"/>
  <c r="F13" i="26" s="1"/>
  <c r="D13" i="18"/>
  <c r="D13" i="26" s="1"/>
  <c r="C13" i="18"/>
  <c r="C13" i="26" s="1"/>
  <c r="B13" i="18"/>
  <c r="O12" i="18"/>
  <c r="N12" i="18"/>
  <c r="L12" i="18"/>
  <c r="K12" i="18"/>
  <c r="J12" i="18"/>
  <c r="J12" i="26" s="1"/>
  <c r="I12" i="18"/>
  <c r="I12" i="26" s="1"/>
  <c r="G12" i="18"/>
  <c r="F12" i="18"/>
  <c r="F12" i="26" s="1"/>
  <c r="D12" i="18"/>
  <c r="C12" i="18"/>
  <c r="C12" i="26" s="1"/>
  <c r="B12" i="18"/>
  <c r="O11" i="18"/>
  <c r="N11" i="18"/>
  <c r="L11" i="18"/>
  <c r="K11" i="18"/>
  <c r="H11" i="2" s="1"/>
  <c r="J11" i="18"/>
  <c r="J11" i="26" s="1"/>
  <c r="I11" i="18"/>
  <c r="I11" i="26" s="1"/>
  <c r="G11" i="18"/>
  <c r="G11" i="26" s="1"/>
  <c r="F11" i="18"/>
  <c r="H11" i="18" s="1"/>
  <c r="D11" i="18"/>
  <c r="D11" i="26" s="1"/>
  <c r="C11" i="18"/>
  <c r="C11" i="26" s="1"/>
  <c r="B11" i="18"/>
  <c r="O22" i="17"/>
  <c r="N22" i="17"/>
  <c r="L22" i="17"/>
  <c r="K22" i="17"/>
  <c r="J22" i="17"/>
  <c r="J22" i="24" s="1"/>
  <c r="I22" i="17"/>
  <c r="I22" i="24" s="1"/>
  <c r="G22" i="17"/>
  <c r="G22" i="24" s="1"/>
  <c r="F22" i="17"/>
  <c r="F22" i="24" s="1"/>
  <c r="D22" i="17"/>
  <c r="D22" i="24" s="1"/>
  <c r="C22" i="17"/>
  <c r="C22" i="24" s="1"/>
  <c r="B22" i="17"/>
  <c r="O21" i="17"/>
  <c r="N21" i="17"/>
  <c r="L21" i="17"/>
  <c r="K21" i="17"/>
  <c r="M21" i="17" s="1"/>
  <c r="J21" i="17"/>
  <c r="J21" i="24" s="1"/>
  <c r="I21" i="17"/>
  <c r="I21" i="24" s="1"/>
  <c r="G21" i="17"/>
  <c r="G21" i="24" s="1"/>
  <c r="F21" i="17"/>
  <c r="F21" i="24" s="1"/>
  <c r="D21" i="17"/>
  <c r="D21" i="24" s="1"/>
  <c r="C21" i="17"/>
  <c r="C21" i="24" s="1"/>
  <c r="B21" i="17"/>
  <c r="O20" i="17"/>
  <c r="N20" i="17"/>
  <c r="L20" i="17"/>
  <c r="M20" i="17" s="1"/>
  <c r="K20" i="17"/>
  <c r="J20" i="17"/>
  <c r="J20" i="24" s="1"/>
  <c r="I20" i="17"/>
  <c r="I20" i="24" s="1"/>
  <c r="G20" i="17"/>
  <c r="G20" i="24" s="1"/>
  <c r="F20" i="17"/>
  <c r="F20" i="24" s="1"/>
  <c r="D20" i="17"/>
  <c r="C20" i="17"/>
  <c r="C20" i="24" s="1"/>
  <c r="B20" i="17"/>
  <c r="O19" i="17"/>
  <c r="N19" i="17"/>
  <c r="L19" i="17"/>
  <c r="K19" i="17"/>
  <c r="J19" i="17"/>
  <c r="J19" i="24" s="1"/>
  <c r="I19" i="17"/>
  <c r="I19" i="24" s="1"/>
  <c r="G19" i="17"/>
  <c r="G19" i="24" s="1"/>
  <c r="F19" i="17"/>
  <c r="D19" i="17"/>
  <c r="D19" i="24" s="1"/>
  <c r="C19" i="17"/>
  <c r="C19" i="24" s="1"/>
  <c r="B19" i="17"/>
  <c r="O18" i="17"/>
  <c r="N18" i="17"/>
  <c r="M18" i="17"/>
  <c r="L18" i="17"/>
  <c r="K18" i="17"/>
  <c r="J18" i="17"/>
  <c r="J18" i="24" s="1"/>
  <c r="I18" i="17"/>
  <c r="I18" i="24" s="1"/>
  <c r="G18" i="17"/>
  <c r="F18" i="17"/>
  <c r="F18" i="24" s="1"/>
  <c r="D18" i="17"/>
  <c r="C18" i="17"/>
  <c r="C18" i="24" s="1"/>
  <c r="B18" i="17"/>
  <c r="O17" i="17"/>
  <c r="N17" i="17"/>
  <c r="L17" i="17"/>
  <c r="K17" i="17"/>
  <c r="J17" i="17"/>
  <c r="J17" i="24" s="1"/>
  <c r="I17" i="17"/>
  <c r="I17" i="24" s="1"/>
  <c r="G17" i="17"/>
  <c r="G17" i="24" s="1"/>
  <c r="F17" i="17"/>
  <c r="D17" i="17"/>
  <c r="D17" i="24" s="1"/>
  <c r="C17" i="17"/>
  <c r="C17" i="24" s="1"/>
  <c r="B17" i="17"/>
  <c r="O16" i="17"/>
  <c r="N16" i="17"/>
  <c r="L16" i="17"/>
  <c r="K16" i="17"/>
  <c r="J16" i="17"/>
  <c r="J16" i="24" s="1"/>
  <c r="I16" i="17"/>
  <c r="I16" i="24" s="1"/>
  <c r="G16" i="17"/>
  <c r="F16" i="17"/>
  <c r="F16" i="24" s="1"/>
  <c r="D16" i="17"/>
  <c r="D16" i="24" s="1"/>
  <c r="C16" i="17"/>
  <c r="C16" i="24" s="1"/>
  <c r="B16" i="17"/>
  <c r="O15" i="17"/>
  <c r="N15" i="17"/>
  <c r="L15" i="17"/>
  <c r="K15" i="17"/>
  <c r="J15" i="17"/>
  <c r="J15" i="24" s="1"/>
  <c r="I15" i="17"/>
  <c r="I15" i="24" s="1"/>
  <c r="G15" i="17"/>
  <c r="G15" i="24" s="1"/>
  <c r="F15" i="17"/>
  <c r="F15" i="24" s="1"/>
  <c r="D15" i="17"/>
  <c r="E15" i="17" s="1"/>
  <c r="C15" i="17"/>
  <c r="C15" i="24" s="1"/>
  <c r="B15" i="17"/>
  <c r="O14" i="17"/>
  <c r="N14" i="17"/>
  <c r="L14" i="17"/>
  <c r="K14" i="17"/>
  <c r="J14" i="17"/>
  <c r="I14" i="17"/>
  <c r="I14" i="24" s="1"/>
  <c r="G14" i="17"/>
  <c r="G14" i="24" s="1"/>
  <c r="F14" i="17"/>
  <c r="F14" i="24" s="1"/>
  <c r="D14" i="17"/>
  <c r="C14" i="17"/>
  <c r="C14" i="24" s="1"/>
  <c r="B14" i="17"/>
  <c r="O13" i="17"/>
  <c r="N13" i="17"/>
  <c r="L13" i="17"/>
  <c r="K13" i="17"/>
  <c r="J13" i="17"/>
  <c r="J13" i="24" s="1"/>
  <c r="I13" i="17"/>
  <c r="I13" i="24" s="1"/>
  <c r="G13" i="17"/>
  <c r="G13" i="24" s="1"/>
  <c r="F13" i="17"/>
  <c r="F13" i="24" s="1"/>
  <c r="D13" i="17"/>
  <c r="D13" i="24" s="1"/>
  <c r="C13" i="17"/>
  <c r="C13" i="24" s="1"/>
  <c r="B13" i="17"/>
  <c r="O12" i="17"/>
  <c r="N12" i="17"/>
  <c r="L12" i="17"/>
  <c r="K12" i="17"/>
  <c r="J12" i="17"/>
  <c r="J12" i="24" s="1"/>
  <c r="I12" i="17"/>
  <c r="I12" i="24" s="1"/>
  <c r="G12" i="17"/>
  <c r="G12" i="24" s="1"/>
  <c r="F12" i="17"/>
  <c r="F12" i="24" s="1"/>
  <c r="D12" i="17"/>
  <c r="C12" i="17"/>
  <c r="C12" i="24" s="1"/>
  <c r="B12" i="17"/>
  <c r="O11" i="17"/>
  <c r="N11" i="17"/>
  <c r="L11" i="17"/>
  <c r="M11" i="17" s="1"/>
  <c r="K11" i="17"/>
  <c r="J11" i="17"/>
  <c r="J11" i="24" s="1"/>
  <c r="I11" i="17"/>
  <c r="I11" i="24" s="1"/>
  <c r="G11" i="17"/>
  <c r="G11" i="24" s="1"/>
  <c r="F11" i="17"/>
  <c r="F11" i="24" s="1"/>
  <c r="D11" i="17"/>
  <c r="D11" i="24" s="1"/>
  <c r="C11" i="17"/>
  <c r="C11" i="24" s="1"/>
  <c r="B11" i="17"/>
  <c r="O22" i="16"/>
  <c r="N22" i="16"/>
  <c r="L22" i="16"/>
  <c r="K22" i="16"/>
  <c r="J22" i="16"/>
  <c r="J22" i="22" s="1"/>
  <c r="I22" i="16"/>
  <c r="I22" i="22" s="1"/>
  <c r="G22" i="16"/>
  <c r="G22" i="22" s="1"/>
  <c r="F22" i="16"/>
  <c r="F22" i="22" s="1"/>
  <c r="D22" i="16"/>
  <c r="C22" i="16"/>
  <c r="C22" i="22" s="1"/>
  <c r="B22" i="16"/>
  <c r="O21" i="16"/>
  <c r="N21" i="16"/>
  <c r="L21" i="16"/>
  <c r="K21" i="16"/>
  <c r="J21" i="16"/>
  <c r="J21" i="22" s="1"/>
  <c r="I21" i="16"/>
  <c r="I21" i="22" s="1"/>
  <c r="G21" i="16"/>
  <c r="G21" i="22" s="1"/>
  <c r="F21" i="16"/>
  <c r="F21" i="22" s="1"/>
  <c r="D21" i="16"/>
  <c r="D21" i="22" s="1"/>
  <c r="C21" i="16"/>
  <c r="C21" i="22" s="1"/>
  <c r="B21" i="16"/>
  <c r="O20" i="16"/>
  <c r="N20" i="16"/>
  <c r="L20" i="16"/>
  <c r="K20" i="16"/>
  <c r="J20" i="16"/>
  <c r="J20" i="22" s="1"/>
  <c r="I20" i="16"/>
  <c r="I20" i="22" s="1"/>
  <c r="G20" i="16"/>
  <c r="F20" i="16"/>
  <c r="F20" i="22" s="1"/>
  <c r="D20" i="16"/>
  <c r="C20" i="16"/>
  <c r="C20" i="22" s="1"/>
  <c r="B20" i="16"/>
  <c r="O19" i="16"/>
  <c r="N19" i="16"/>
  <c r="L19" i="16"/>
  <c r="K19" i="16"/>
  <c r="J19" i="16"/>
  <c r="J19" i="22" s="1"/>
  <c r="I19" i="16"/>
  <c r="I19" i="22" s="1"/>
  <c r="G19" i="16"/>
  <c r="G19" i="22" s="1"/>
  <c r="F19" i="16"/>
  <c r="F19" i="22" s="1"/>
  <c r="D19" i="16"/>
  <c r="D19" i="22" s="1"/>
  <c r="C19" i="16"/>
  <c r="C19" i="22" s="1"/>
  <c r="B19" i="16"/>
  <c r="O18" i="16"/>
  <c r="N18" i="16"/>
  <c r="L18" i="16"/>
  <c r="K18" i="16"/>
  <c r="J18" i="16"/>
  <c r="J18" i="22" s="1"/>
  <c r="I18" i="16"/>
  <c r="I18" i="22" s="1"/>
  <c r="G18" i="16"/>
  <c r="G18" i="22" s="1"/>
  <c r="F18" i="16"/>
  <c r="F18" i="22" s="1"/>
  <c r="D18" i="16"/>
  <c r="C18" i="16"/>
  <c r="C18" i="22" s="1"/>
  <c r="B18" i="16"/>
  <c r="O17" i="16"/>
  <c r="N17" i="16"/>
  <c r="L17" i="16"/>
  <c r="K17" i="16"/>
  <c r="J17" i="16"/>
  <c r="I17" i="16"/>
  <c r="G17" i="16"/>
  <c r="G17" i="22" s="1"/>
  <c r="F17" i="16"/>
  <c r="F17" i="22" s="1"/>
  <c r="D17" i="16"/>
  <c r="D17" i="22" s="1"/>
  <c r="C17" i="16"/>
  <c r="C17" i="22" s="1"/>
  <c r="B17" i="16"/>
  <c r="O16" i="16"/>
  <c r="N16" i="16"/>
  <c r="L16" i="16"/>
  <c r="K16" i="16"/>
  <c r="J16" i="16"/>
  <c r="J16" i="22" s="1"/>
  <c r="I16" i="16"/>
  <c r="G16" i="16"/>
  <c r="G16" i="22" s="1"/>
  <c r="F16" i="16"/>
  <c r="D16" i="16"/>
  <c r="D16" i="22" s="1"/>
  <c r="C16" i="16"/>
  <c r="C16" i="22" s="1"/>
  <c r="B16" i="16"/>
  <c r="O15" i="16"/>
  <c r="N15" i="16"/>
  <c r="L15" i="16"/>
  <c r="K15" i="16"/>
  <c r="J15" i="16"/>
  <c r="J15" i="22" s="1"/>
  <c r="I15" i="16"/>
  <c r="I15" i="22" s="1"/>
  <c r="G15" i="16"/>
  <c r="G15" i="22" s="1"/>
  <c r="F15" i="16"/>
  <c r="F15" i="22" s="1"/>
  <c r="D15" i="16"/>
  <c r="D15" i="22" s="1"/>
  <c r="C15" i="16"/>
  <c r="C15" i="22" s="1"/>
  <c r="B15" i="16"/>
  <c r="O14" i="16"/>
  <c r="N14" i="16"/>
  <c r="L14" i="16"/>
  <c r="K14" i="16"/>
  <c r="J14" i="16"/>
  <c r="J14" i="22" s="1"/>
  <c r="I14" i="16"/>
  <c r="I14" i="22" s="1"/>
  <c r="G14" i="16"/>
  <c r="G14" i="22" s="1"/>
  <c r="F14" i="16"/>
  <c r="F14" i="22" s="1"/>
  <c r="D14" i="16"/>
  <c r="C14" i="16"/>
  <c r="C14" i="22" s="1"/>
  <c r="B14" i="16"/>
  <c r="O13" i="16"/>
  <c r="N13" i="16"/>
  <c r="L13" i="16"/>
  <c r="K13" i="16"/>
  <c r="J13" i="16"/>
  <c r="J13" i="22" s="1"/>
  <c r="I13" i="16"/>
  <c r="I13" i="22" s="1"/>
  <c r="G13" i="16"/>
  <c r="G13" i="22" s="1"/>
  <c r="F13" i="16"/>
  <c r="F13" i="22" s="1"/>
  <c r="D13" i="16"/>
  <c r="C13" i="16"/>
  <c r="C13" i="22" s="1"/>
  <c r="B13" i="16"/>
  <c r="O12" i="16"/>
  <c r="N12" i="16"/>
  <c r="L12" i="16"/>
  <c r="K12" i="16"/>
  <c r="J12" i="16"/>
  <c r="J12" i="22" s="1"/>
  <c r="I12" i="16"/>
  <c r="G12" i="16"/>
  <c r="G12" i="22" s="1"/>
  <c r="F12" i="16"/>
  <c r="F12" i="22" s="1"/>
  <c r="D12" i="16"/>
  <c r="C12" i="16"/>
  <c r="C12" i="22" s="1"/>
  <c r="B12" i="16"/>
  <c r="O11" i="16"/>
  <c r="N11" i="16"/>
  <c r="L11" i="16"/>
  <c r="K11" i="16"/>
  <c r="J11" i="16"/>
  <c r="J11" i="22" s="1"/>
  <c r="I11" i="16"/>
  <c r="I11" i="22" s="1"/>
  <c r="G11" i="16"/>
  <c r="G11" i="22" s="1"/>
  <c r="F11" i="16"/>
  <c r="D11" i="16"/>
  <c r="C11" i="16"/>
  <c r="C11" i="22" s="1"/>
  <c r="B11" i="16"/>
  <c r="O22" i="15"/>
  <c r="N22" i="15"/>
  <c r="L22" i="15"/>
  <c r="K22" i="15"/>
  <c r="J22" i="15"/>
  <c r="J22" i="20" s="1"/>
  <c r="I22" i="15"/>
  <c r="I22" i="20" s="1"/>
  <c r="G22" i="15"/>
  <c r="F22" i="15"/>
  <c r="F22" i="20" s="1"/>
  <c r="D22" i="15"/>
  <c r="D22" i="20" s="1"/>
  <c r="C22" i="15"/>
  <c r="C22" i="20" s="1"/>
  <c r="B22" i="15"/>
  <c r="O21" i="15"/>
  <c r="N21" i="15"/>
  <c r="L21" i="15"/>
  <c r="K21" i="15"/>
  <c r="J21" i="15"/>
  <c r="I21" i="15"/>
  <c r="G21" i="15"/>
  <c r="G21" i="20" s="1"/>
  <c r="F21" i="15"/>
  <c r="F21" i="20" s="1"/>
  <c r="D21" i="15"/>
  <c r="C21" i="15"/>
  <c r="C21" i="20" s="1"/>
  <c r="B21" i="15"/>
  <c r="O20" i="15"/>
  <c r="N20" i="15"/>
  <c r="L20" i="15"/>
  <c r="K20" i="15"/>
  <c r="J20" i="15"/>
  <c r="J20" i="20" s="1"/>
  <c r="I20" i="15"/>
  <c r="G20" i="15"/>
  <c r="G20" i="20" s="1"/>
  <c r="H20" i="20" s="1"/>
  <c r="F20" i="15"/>
  <c r="F20" i="20" s="1"/>
  <c r="D20" i="15"/>
  <c r="D20" i="20" s="1"/>
  <c r="C20" i="15"/>
  <c r="C20" i="20" s="1"/>
  <c r="B20" i="15"/>
  <c r="O19" i="15"/>
  <c r="N19" i="15"/>
  <c r="L19" i="15"/>
  <c r="K19" i="15"/>
  <c r="J19" i="15"/>
  <c r="I19" i="15"/>
  <c r="I19" i="20" s="1"/>
  <c r="G19" i="15"/>
  <c r="G19" i="20" s="1"/>
  <c r="F19" i="15"/>
  <c r="F19" i="20" s="1"/>
  <c r="D19" i="15"/>
  <c r="D19" i="20" s="1"/>
  <c r="C19" i="15"/>
  <c r="C19" i="20" s="1"/>
  <c r="B19" i="15"/>
  <c r="O18" i="15"/>
  <c r="N18" i="15"/>
  <c r="L18" i="15"/>
  <c r="K18" i="15"/>
  <c r="J18" i="15"/>
  <c r="J18" i="20" s="1"/>
  <c r="I18" i="15"/>
  <c r="I18" i="20" s="1"/>
  <c r="G18" i="15"/>
  <c r="G18" i="20" s="1"/>
  <c r="F18" i="15"/>
  <c r="F18" i="20" s="1"/>
  <c r="D18" i="15"/>
  <c r="C18" i="15"/>
  <c r="C18" i="20" s="1"/>
  <c r="B18" i="15"/>
  <c r="O17" i="15"/>
  <c r="N17" i="15"/>
  <c r="L17" i="15"/>
  <c r="K17" i="15"/>
  <c r="M17" i="15" s="1"/>
  <c r="J17" i="15"/>
  <c r="J17" i="20" s="1"/>
  <c r="I17" i="15"/>
  <c r="I17" i="20" s="1"/>
  <c r="G17" i="15"/>
  <c r="F17" i="15"/>
  <c r="F17" i="20" s="1"/>
  <c r="D17" i="15"/>
  <c r="C17" i="15"/>
  <c r="C17" i="20" s="1"/>
  <c r="B17" i="15"/>
  <c r="O16" i="15"/>
  <c r="N16" i="15"/>
  <c r="L16" i="15"/>
  <c r="K16" i="15"/>
  <c r="J16" i="15"/>
  <c r="I16" i="15"/>
  <c r="I16" i="20" s="1"/>
  <c r="G16" i="15"/>
  <c r="G16" i="20" s="1"/>
  <c r="F16" i="15"/>
  <c r="F16" i="20" s="1"/>
  <c r="D16" i="15"/>
  <c r="C16" i="15"/>
  <c r="C16" i="20" s="1"/>
  <c r="B16" i="15"/>
  <c r="O15" i="15"/>
  <c r="N15" i="15"/>
  <c r="L15" i="15"/>
  <c r="K15" i="15"/>
  <c r="J15" i="15"/>
  <c r="J15" i="20" s="1"/>
  <c r="I15" i="15"/>
  <c r="I15" i="20" s="1"/>
  <c r="G15" i="15"/>
  <c r="G15" i="20" s="1"/>
  <c r="F15" i="15"/>
  <c r="F15" i="20" s="1"/>
  <c r="D15" i="15"/>
  <c r="C15" i="15"/>
  <c r="C15" i="20" s="1"/>
  <c r="B15" i="15"/>
  <c r="O14" i="15"/>
  <c r="N14" i="15"/>
  <c r="L14" i="15"/>
  <c r="K14" i="15"/>
  <c r="J14" i="15"/>
  <c r="J14" i="20" s="1"/>
  <c r="I14" i="15"/>
  <c r="I14" i="20" s="1"/>
  <c r="G14" i="15"/>
  <c r="F14" i="15"/>
  <c r="F14" i="20" s="1"/>
  <c r="D14" i="15"/>
  <c r="C14" i="15"/>
  <c r="C14" i="20" s="1"/>
  <c r="B14" i="15"/>
  <c r="O13" i="15"/>
  <c r="N13" i="15"/>
  <c r="L13" i="15"/>
  <c r="K13" i="15"/>
  <c r="M13" i="15" s="1"/>
  <c r="J13" i="15"/>
  <c r="J13" i="20" s="1"/>
  <c r="I13" i="15"/>
  <c r="I13" i="20" s="1"/>
  <c r="G13" i="15"/>
  <c r="G13" i="20" s="1"/>
  <c r="F13" i="15"/>
  <c r="D13" i="15"/>
  <c r="D13" i="20" s="1"/>
  <c r="C13" i="15"/>
  <c r="C13" i="20" s="1"/>
  <c r="B13" i="15"/>
  <c r="O12" i="15"/>
  <c r="N12" i="15"/>
  <c r="L12" i="15"/>
  <c r="K12" i="15"/>
  <c r="J12" i="15"/>
  <c r="I12" i="15"/>
  <c r="G12" i="15"/>
  <c r="F12" i="15"/>
  <c r="F12" i="20" s="1"/>
  <c r="D12" i="15"/>
  <c r="C12" i="15"/>
  <c r="C12" i="20" s="1"/>
  <c r="B12" i="15"/>
  <c r="O11" i="15"/>
  <c r="N11" i="15"/>
  <c r="L11" i="15"/>
  <c r="K11" i="15"/>
  <c r="J11" i="15"/>
  <c r="I11" i="15"/>
  <c r="G11" i="15"/>
  <c r="G11" i="20" s="1"/>
  <c r="F11" i="15"/>
  <c r="D11" i="15"/>
  <c r="D11" i="20" s="1"/>
  <c r="C11" i="15"/>
  <c r="C11" i="20" s="1"/>
  <c r="B11" i="15"/>
  <c r="D63" i="12"/>
  <c r="C63" i="12"/>
  <c r="CJ57" i="12"/>
  <c r="CI57" i="12"/>
  <c r="CH57" i="12"/>
  <c r="CG57" i="12"/>
  <c r="CF57" i="12"/>
  <c r="CA57" i="12"/>
  <c r="BZ57" i="12"/>
  <c r="BY57" i="12"/>
  <c r="BX57" i="12"/>
  <c r="BW57" i="12"/>
  <c r="BR57" i="12"/>
  <c r="BQ57" i="12"/>
  <c r="BP57" i="12"/>
  <c r="BO57" i="12"/>
  <c r="BN57" i="12"/>
  <c r="BI57" i="12"/>
  <c r="BH57" i="12"/>
  <c r="BG57" i="12"/>
  <c r="BF57" i="12"/>
  <c r="BE57" i="12"/>
  <c r="AZ57" i="12"/>
  <c r="AY57" i="12"/>
  <c r="AX57" i="12"/>
  <c r="AW57" i="12"/>
  <c r="AV57" i="12"/>
  <c r="AQ57" i="12"/>
  <c r="AP57" i="12"/>
  <c r="AO57" i="12"/>
  <c r="AN57" i="12"/>
  <c r="AM57" i="12"/>
  <c r="AH57" i="12"/>
  <c r="AG57" i="12"/>
  <c r="AF57" i="12"/>
  <c r="AE57" i="12"/>
  <c r="AD57" i="12"/>
  <c r="Y57" i="12"/>
  <c r="X57" i="12"/>
  <c r="W57" i="12"/>
  <c r="V57" i="12"/>
  <c r="U57" i="12"/>
  <c r="P57" i="12"/>
  <c r="O57" i="12"/>
  <c r="N57" i="12"/>
  <c r="M57" i="12"/>
  <c r="L57" i="12"/>
  <c r="E57" i="12"/>
  <c r="D57" i="12"/>
  <c r="C57" i="12"/>
  <c r="CF53" i="12"/>
  <c r="BW53" i="12"/>
  <c r="BN53" i="12"/>
  <c r="BE53" i="12"/>
  <c r="AV53" i="12"/>
  <c r="AM53" i="12"/>
  <c r="AD53" i="12"/>
  <c r="U53" i="12"/>
  <c r="L53" i="12"/>
  <c r="C53" i="12"/>
  <c r="CG49" i="12"/>
  <c r="CF49" i="12"/>
  <c r="BX49" i="12"/>
  <c r="BW49" i="12"/>
  <c r="BO49" i="12"/>
  <c r="BN49" i="12"/>
  <c r="BF49" i="12"/>
  <c r="BE49" i="12"/>
  <c r="AW49" i="12"/>
  <c r="AV49" i="12"/>
  <c r="AN49" i="12"/>
  <c r="AM49" i="12"/>
  <c r="AE49" i="12"/>
  <c r="AD49" i="12"/>
  <c r="V49" i="12"/>
  <c r="U49" i="12"/>
  <c r="M49" i="12"/>
  <c r="L49" i="12"/>
  <c r="D49" i="12"/>
  <c r="C49" i="12"/>
  <c r="F45" i="12"/>
  <c r="E45" i="12"/>
  <c r="B44" i="12"/>
  <c r="CH39" i="12"/>
  <c r="CG39" i="12"/>
  <c r="CF39" i="12"/>
  <c r="BY39" i="12"/>
  <c r="BX39" i="12"/>
  <c r="BW39" i="12"/>
  <c r="BP39" i="12"/>
  <c r="BO39" i="12"/>
  <c r="BN39" i="12"/>
  <c r="BG39" i="12"/>
  <c r="BF39" i="12"/>
  <c r="BE39" i="12"/>
  <c r="AX39" i="12"/>
  <c r="AW39" i="12"/>
  <c r="AV39" i="12"/>
  <c r="AO39" i="12"/>
  <c r="AN39" i="12"/>
  <c r="AM39" i="12"/>
  <c r="AF39" i="12"/>
  <c r="AE39" i="12"/>
  <c r="AD39" i="12"/>
  <c r="W39" i="12"/>
  <c r="V39" i="12"/>
  <c r="U39" i="12"/>
  <c r="N39" i="12"/>
  <c r="M39" i="12"/>
  <c r="L39" i="12"/>
  <c r="E39" i="12"/>
  <c r="D39" i="12"/>
  <c r="C39" i="12"/>
  <c r="CF35" i="12"/>
  <c r="BW35" i="12"/>
  <c r="BN35" i="12"/>
  <c r="BE35" i="12"/>
  <c r="AV35" i="12"/>
  <c r="AM35" i="12"/>
  <c r="AD35" i="12"/>
  <c r="U35" i="12"/>
  <c r="L35" i="12"/>
  <c r="C35" i="12"/>
  <c r="CG31" i="12"/>
  <c r="CF31" i="12"/>
  <c r="BX31" i="12"/>
  <c r="BW31" i="12"/>
  <c r="BO31" i="12"/>
  <c r="BN31" i="12"/>
  <c r="BF31" i="12"/>
  <c r="BE31" i="12"/>
  <c r="AW31" i="12"/>
  <c r="AV31" i="12"/>
  <c r="AN31" i="12"/>
  <c r="AM31" i="12"/>
  <c r="AE31" i="12"/>
  <c r="AD31" i="12"/>
  <c r="V31" i="12"/>
  <c r="U31" i="12"/>
  <c r="M31" i="12"/>
  <c r="L31" i="12"/>
  <c r="D31" i="12"/>
  <c r="C31" i="12"/>
  <c r="CI27" i="12"/>
  <c r="CH27" i="12"/>
  <c r="BZ27" i="12"/>
  <c r="BY27" i="12"/>
  <c r="BQ27" i="12"/>
  <c r="BP27" i="12"/>
  <c r="BH27" i="12"/>
  <c r="BG27" i="12"/>
  <c r="AY27" i="12"/>
  <c r="AX27" i="12"/>
  <c r="AP27" i="12"/>
  <c r="AO27" i="12"/>
  <c r="AG27" i="12"/>
  <c r="AF27" i="12"/>
  <c r="X27" i="12"/>
  <c r="W27" i="12"/>
  <c r="O27" i="12"/>
  <c r="N27" i="12"/>
  <c r="F27" i="12"/>
  <c r="E27" i="12"/>
  <c r="CE26" i="12"/>
  <c r="BV26" i="12"/>
  <c r="BM26" i="12"/>
  <c r="BD26" i="12"/>
  <c r="AU26" i="12"/>
  <c r="AL26" i="12"/>
  <c r="AC26" i="12"/>
  <c r="T26" i="12"/>
  <c r="K26" i="12"/>
  <c r="B26" i="12"/>
  <c r="CH17" i="12"/>
  <c r="CG17" i="12"/>
  <c r="CF17" i="12"/>
  <c r="BY17" i="12"/>
  <c r="BX17" i="12"/>
  <c r="BW17" i="12"/>
  <c r="BP17" i="12"/>
  <c r="BO17" i="12"/>
  <c r="BN17" i="12"/>
  <c r="BG17" i="12"/>
  <c r="BF17" i="12"/>
  <c r="BE17" i="12"/>
  <c r="AX17" i="12"/>
  <c r="AW17" i="12"/>
  <c r="AV17" i="12"/>
  <c r="AO17" i="12"/>
  <c r="AN17" i="12"/>
  <c r="AM17" i="12"/>
  <c r="AF17" i="12"/>
  <c r="AE17" i="12"/>
  <c r="AD17" i="12"/>
  <c r="W17" i="12"/>
  <c r="V17" i="12"/>
  <c r="U17" i="12"/>
  <c r="N17" i="12"/>
  <c r="M17" i="12"/>
  <c r="L17" i="12"/>
  <c r="CF13" i="12"/>
  <c r="BW13" i="12"/>
  <c r="BN13" i="12"/>
  <c r="BE13" i="12"/>
  <c r="AV13" i="12"/>
  <c r="AM13" i="12"/>
  <c r="AD13" i="12"/>
  <c r="U13" i="12"/>
  <c r="L13" i="12"/>
  <c r="CG9" i="12"/>
  <c r="CF9" i="12"/>
  <c r="BX9" i="12"/>
  <c r="BW9" i="12"/>
  <c r="BO9" i="12"/>
  <c r="BN9" i="12"/>
  <c r="BF9" i="12"/>
  <c r="BE9" i="12"/>
  <c r="AW9" i="12"/>
  <c r="AV9" i="12"/>
  <c r="AN9" i="12"/>
  <c r="AM9" i="12"/>
  <c r="AE9" i="12"/>
  <c r="AD9" i="12"/>
  <c r="V9" i="12"/>
  <c r="U9" i="12"/>
  <c r="M9" i="12"/>
  <c r="L9" i="12"/>
  <c r="CI5" i="12"/>
  <c r="CH5" i="12"/>
  <c r="BZ5" i="12"/>
  <c r="BY5" i="12"/>
  <c r="BQ5" i="12"/>
  <c r="BP5" i="12"/>
  <c r="BH5" i="12"/>
  <c r="BG5" i="12"/>
  <c r="AY5" i="12"/>
  <c r="AX5" i="12"/>
  <c r="AP5" i="12"/>
  <c r="AO5" i="12"/>
  <c r="AG5" i="12"/>
  <c r="AF5" i="12"/>
  <c r="X5" i="12"/>
  <c r="W5" i="12"/>
  <c r="O5" i="12"/>
  <c r="N5" i="12"/>
  <c r="CE4" i="12"/>
  <c r="BV4" i="12"/>
  <c r="BM4" i="12"/>
  <c r="BD4" i="12"/>
  <c r="AU4" i="12"/>
  <c r="AL4" i="12"/>
  <c r="AC4" i="12"/>
  <c r="T4" i="12"/>
  <c r="K4" i="12"/>
  <c r="O22" i="11"/>
  <c r="M22" i="11"/>
  <c r="M22" i="31" s="1"/>
  <c r="E22" i="11"/>
  <c r="G22" i="11" s="1"/>
  <c r="G22" i="31" s="1"/>
  <c r="H22" i="31" s="1"/>
  <c r="B22" i="11"/>
  <c r="O21" i="11"/>
  <c r="M21" i="11"/>
  <c r="M21" i="31" s="1"/>
  <c r="E21" i="11"/>
  <c r="N21" i="11" s="1"/>
  <c r="B21" i="11"/>
  <c r="O20" i="11"/>
  <c r="M20" i="11"/>
  <c r="M20" i="31" s="1"/>
  <c r="E20" i="11"/>
  <c r="G20" i="11" s="1"/>
  <c r="B20" i="11"/>
  <c r="O19" i="11"/>
  <c r="M19" i="11"/>
  <c r="M19" i="31" s="1"/>
  <c r="E19" i="11"/>
  <c r="B19" i="11"/>
  <c r="O18" i="11"/>
  <c r="M18" i="11"/>
  <c r="M18" i="31" s="1"/>
  <c r="E18" i="11"/>
  <c r="N18" i="11" s="1"/>
  <c r="B18" i="11"/>
  <c r="O17" i="11"/>
  <c r="M17" i="11"/>
  <c r="M17" i="31" s="1"/>
  <c r="E17" i="11"/>
  <c r="N17" i="11" s="1"/>
  <c r="B17" i="11"/>
  <c r="O16" i="11"/>
  <c r="M16" i="11"/>
  <c r="M16" i="31" s="1"/>
  <c r="E16" i="11"/>
  <c r="N16" i="11" s="1"/>
  <c r="B16" i="11"/>
  <c r="O15" i="11"/>
  <c r="M15" i="11"/>
  <c r="M15" i="31" s="1"/>
  <c r="E15" i="11"/>
  <c r="G15" i="11" s="1"/>
  <c r="B15" i="11"/>
  <c r="O14" i="11"/>
  <c r="M14" i="11"/>
  <c r="M14" i="31" s="1"/>
  <c r="E14" i="11"/>
  <c r="G14" i="11" s="1"/>
  <c r="G14" i="31" s="1"/>
  <c r="H14" i="31" s="1"/>
  <c r="B14" i="11"/>
  <c r="O13" i="11"/>
  <c r="M13" i="11"/>
  <c r="M13" i="31" s="1"/>
  <c r="E13" i="11"/>
  <c r="G13" i="11" s="1"/>
  <c r="B13" i="11"/>
  <c r="O12" i="11"/>
  <c r="M12" i="11"/>
  <c r="M12" i="31" s="1"/>
  <c r="E12" i="11"/>
  <c r="G12" i="11" s="1"/>
  <c r="B12" i="11"/>
  <c r="O11" i="11"/>
  <c r="M11" i="11"/>
  <c r="M11" i="31" s="1"/>
  <c r="E11" i="11"/>
  <c r="G11" i="11" s="1"/>
  <c r="G11" i="31" s="1"/>
  <c r="B11" i="11"/>
  <c r="M22" i="10"/>
  <c r="M22" i="28" s="1"/>
  <c r="H22" i="10"/>
  <c r="E22" i="10"/>
  <c r="B22" i="10"/>
  <c r="M21" i="10"/>
  <c r="M21" i="28" s="1"/>
  <c r="H21" i="10"/>
  <c r="E21" i="10"/>
  <c r="B21" i="10"/>
  <c r="M20" i="10"/>
  <c r="M20" i="28" s="1"/>
  <c r="H20" i="10"/>
  <c r="E20" i="10"/>
  <c r="B20" i="10"/>
  <c r="M19" i="10"/>
  <c r="M19" i="28" s="1"/>
  <c r="H19" i="10"/>
  <c r="E19" i="10"/>
  <c r="B19" i="10"/>
  <c r="M18" i="10"/>
  <c r="M18" i="28" s="1"/>
  <c r="H18" i="10"/>
  <c r="E18" i="10"/>
  <c r="B18" i="10"/>
  <c r="M17" i="10"/>
  <c r="M17" i="28" s="1"/>
  <c r="H17" i="10"/>
  <c r="E17" i="10"/>
  <c r="B17" i="10"/>
  <c r="M16" i="10"/>
  <c r="M16" i="28" s="1"/>
  <c r="H16" i="10"/>
  <c r="E16" i="10"/>
  <c r="B16" i="10"/>
  <c r="M15" i="10"/>
  <c r="M15" i="28" s="1"/>
  <c r="H15" i="10"/>
  <c r="L15" i="2" s="1"/>
  <c r="E15" i="10"/>
  <c r="B15" i="10"/>
  <c r="M14" i="10"/>
  <c r="M14" i="28" s="1"/>
  <c r="H14" i="10"/>
  <c r="E14" i="10"/>
  <c r="B14" i="10"/>
  <c r="M13" i="10"/>
  <c r="M13" i="28" s="1"/>
  <c r="H13" i="10"/>
  <c r="E13" i="10"/>
  <c r="B13" i="10"/>
  <c r="M12" i="10"/>
  <c r="M12" i="28" s="1"/>
  <c r="H12" i="10"/>
  <c r="E12" i="10"/>
  <c r="B12" i="10"/>
  <c r="M11" i="10"/>
  <c r="M11" i="28" s="1"/>
  <c r="H11" i="10"/>
  <c r="E11" i="10"/>
  <c r="B11" i="10"/>
  <c r="G22" i="9"/>
  <c r="G22" i="30" s="1"/>
  <c r="H22" i="30" s="1"/>
  <c r="B22" i="9"/>
  <c r="G21" i="9"/>
  <c r="G21" i="30" s="1"/>
  <c r="H21" i="30" s="1"/>
  <c r="B21" i="9"/>
  <c r="G20" i="9"/>
  <c r="G20" i="30" s="1"/>
  <c r="H20" i="30" s="1"/>
  <c r="B20" i="9"/>
  <c r="G19" i="9"/>
  <c r="G19" i="30" s="1"/>
  <c r="H19" i="30" s="1"/>
  <c r="B19" i="9"/>
  <c r="G18" i="9"/>
  <c r="G18" i="30" s="1"/>
  <c r="H18" i="30" s="1"/>
  <c r="B18" i="9"/>
  <c r="G17" i="9"/>
  <c r="G17" i="30" s="1"/>
  <c r="H17" i="30" s="1"/>
  <c r="B17" i="9"/>
  <c r="G16" i="9"/>
  <c r="G16" i="30" s="1"/>
  <c r="H16" i="30" s="1"/>
  <c r="B16" i="9"/>
  <c r="G15" i="9"/>
  <c r="G15" i="30" s="1"/>
  <c r="H15" i="30" s="1"/>
  <c r="B15" i="9"/>
  <c r="G14" i="9"/>
  <c r="G14" i="30" s="1"/>
  <c r="H14" i="30" s="1"/>
  <c r="B14" i="9"/>
  <c r="G13" i="9"/>
  <c r="G13" i="30" s="1"/>
  <c r="H13" i="30" s="1"/>
  <c r="B13" i="9"/>
  <c r="G12" i="9"/>
  <c r="G12" i="30" s="1"/>
  <c r="H12" i="30" s="1"/>
  <c r="B12" i="9"/>
  <c r="G11" i="9"/>
  <c r="G11" i="30" s="1"/>
  <c r="B11" i="9"/>
  <c r="G22" i="8"/>
  <c r="G22" i="29" s="1"/>
  <c r="H22" i="29" s="1"/>
  <c r="B22" i="8"/>
  <c r="G21" i="8"/>
  <c r="G21" i="29" s="1"/>
  <c r="H21" i="29" s="1"/>
  <c r="B21" i="8"/>
  <c r="G20" i="8"/>
  <c r="G20" i="29" s="1"/>
  <c r="H20" i="29" s="1"/>
  <c r="B20" i="8"/>
  <c r="G19" i="8"/>
  <c r="G19" i="29" s="1"/>
  <c r="H19" i="29" s="1"/>
  <c r="B19" i="8"/>
  <c r="G18" i="8"/>
  <c r="G18" i="29" s="1"/>
  <c r="H18" i="29" s="1"/>
  <c r="B18" i="8"/>
  <c r="G17" i="8"/>
  <c r="G17" i="29" s="1"/>
  <c r="H17" i="29" s="1"/>
  <c r="B17" i="8"/>
  <c r="G16" i="8"/>
  <c r="G16" i="29" s="1"/>
  <c r="H16" i="29" s="1"/>
  <c r="B16" i="8"/>
  <c r="G15" i="8"/>
  <c r="G15" i="29" s="1"/>
  <c r="H15" i="29" s="1"/>
  <c r="B15" i="8"/>
  <c r="G14" i="8"/>
  <c r="G14" i="29" s="1"/>
  <c r="B14" i="8"/>
  <c r="G13" i="8"/>
  <c r="G13" i="29" s="1"/>
  <c r="H13" i="29" s="1"/>
  <c r="B13" i="8"/>
  <c r="G12" i="8"/>
  <c r="G12" i="29" s="1"/>
  <c r="H12" i="29" s="1"/>
  <c r="B12" i="8"/>
  <c r="G11" i="8"/>
  <c r="G11" i="29" s="1"/>
  <c r="B11" i="8"/>
  <c r="Q22" i="7"/>
  <c r="Q22" i="20" s="1"/>
  <c r="R22" i="20" s="1"/>
  <c r="N22" i="7"/>
  <c r="N22" i="27" s="1"/>
  <c r="G22" i="7"/>
  <c r="B22" i="7"/>
  <c r="Q21" i="7"/>
  <c r="Q21" i="28" s="1"/>
  <c r="R21" i="28" s="1"/>
  <c r="N21" i="7"/>
  <c r="N21" i="27" s="1"/>
  <c r="G21" i="7"/>
  <c r="B21" i="7"/>
  <c r="Q20" i="7"/>
  <c r="N20" i="7"/>
  <c r="N20" i="27" s="1"/>
  <c r="G20" i="7"/>
  <c r="B20" i="7"/>
  <c r="Q19" i="7"/>
  <c r="Q19" i="24" s="1"/>
  <c r="R19" i="24" s="1"/>
  <c r="N19" i="7"/>
  <c r="N19" i="27" s="1"/>
  <c r="G19" i="7"/>
  <c r="B19" i="7"/>
  <c r="Q18" i="7"/>
  <c r="Q18" i="28" s="1"/>
  <c r="N18" i="7"/>
  <c r="N18" i="27" s="1"/>
  <c r="G18" i="7"/>
  <c r="B18" i="7"/>
  <c r="Q17" i="7"/>
  <c r="N17" i="7"/>
  <c r="N17" i="27" s="1"/>
  <c r="G17" i="7"/>
  <c r="B17" i="7"/>
  <c r="Q16" i="7"/>
  <c r="Q16" i="20" s="1"/>
  <c r="R16" i="20" s="1"/>
  <c r="N16" i="7"/>
  <c r="N16" i="27" s="1"/>
  <c r="G16" i="7"/>
  <c r="B16" i="7"/>
  <c r="Q15" i="7"/>
  <c r="Q15" i="22" s="1"/>
  <c r="N15" i="7"/>
  <c r="N15" i="27" s="1"/>
  <c r="G15" i="7"/>
  <c r="B15" i="7"/>
  <c r="Q14" i="7"/>
  <c r="Q14" i="20" s="1"/>
  <c r="N14" i="7"/>
  <c r="N14" i="27" s="1"/>
  <c r="G14" i="7"/>
  <c r="B14" i="7"/>
  <c r="Q13" i="7"/>
  <c r="Q13" i="28" s="1"/>
  <c r="R13" i="28" s="1"/>
  <c r="N13" i="7"/>
  <c r="N13" i="27" s="1"/>
  <c r="G13" i="7"/>
  <c r="B13" i="7"/>
  <c r="Q12" i="7"/>
  <c r="Q12" i="27" s="1"/>
  <c r="R12" i="27" s="1"/>
  <c r="N12" i="7"/>
  <c r="N12" i="27" s="1"/>
  <c r="G12" i="7"/>
  <c r="B12" i="7"/>
  <c r="Q11" i="7"/>
  <c r="Q11" i="22" s="1"/>
  <c r="N11" i="7"/>
  <c r="N11" i="27" s="1"/>
  <c r="G11" i="7"/>
  <c r="B11" i="7"/>
  <c r="M21" i="25"/>
  <c r="M19" i="26"/>
  <c r="M18" i="25"/>
  <c r="M20" i="24"/>
  <c r="M12" i="24"/>
  <c r="M11" i="23"/>
  <c r="M20" i="22"/>
  <c r="M14" i="22"/>
  <c r="M12" i="21"/>
  <c r="M36" i="3"/>
  <c r="H36" i="3"/>
  <c r="E36" i="3"/>
  <c r="M35" i="3"/>
  <c r="H35" i="3"/>
  <c r="E35" i="3"/>
  <c r="M34" i="3"/>
  <c r="H34" i="3"/>
  <c r="E34" i="3"/>
  <c r="M33" i="3"/>
  <c r="H33" i="3"/>
  <c r="E33" i="3"/>
  <c r="M32" i="3"/>
  <c r="H32" i="3"/>
  <c r="E32" i="3"/>
  <c r="M31" i="3"/>
  <c r="H31" i="3"/>
  <c r="E31" i="3"/>
  <c r="M30" i="3"/>
  <c r="H30" i="3"/>
  <c r="E30" i="3"/>
  <c r="M29" i="3"/>
  <c r="H29" i="3"/>
  <c r="E29" i="3"/>
  <c r="M28" i="3"/>
  <c r="H28" i="3"/>
  <c r="E28" i="3"/>
  <c r="M27" i="3"/>
  <c r="H27" i="3"/>
  <c r="E27" i="3"/>
  <c r="M26" i="3"/>
  <c r="H26" i="3"/>
  <c r="E26" i="3"/>
  <c r="M25" i="3"/>
  <c r="H25" i="3"/>
  <c r="E25" i="3"/>
  <c r="R22" i="3"/>
  <c r="B22" i="3"/>
  <c r="R21" i="3"/>
  <c r="M21" i="3"/>
  <c r="M21" i="20" s="1"/>
  <c r="H21" i="3"/>
  <c r="E21" i="3"/>
  <c r="B21" i="3"/>
  <c r="R20" i="3"/>
  <c r="M20" i="3"/>
  <c r="H20" i="3"/>
  <c r="E20" i="3"/>
  <c r="B20" i="3"/>
  <c r="R19" i="3"/>
  <c r="M19" i="3"/>
  <c r="M19" i="20" s="1"/>
  <c r="H19" i="3"/>
  <c r="E19" i="3"/>
  <c r="B19" i="3"/>
  <c r="R18" i="3"/>
  <c r="M18" i="3"/>
  <c r="M18" i="20" s="1"/>
  <c r="H18" i="3"/>
  <c r="E18" i="3"/>
  <c r="B18" i="3"/>
  <c r="R17" i="3"/>
  <c r="M17" i="3"/>
  <c r="H17" i="3"/>
  <c r="E17" i="3"/>
  <c r="B17" i="3"/>
  <c r="R16" i="3"/>
  <c r="M16" i="3"/>
  <c r="M16" i="19" s="1"/>
  <c r="H16" i="3"/>
  <c r="E16" i="3"/>
  <c r="B16" i="3"/>
  <c r="R15" i="3"/>
  <c r="M15" i="3"/>
  <c r="M15" i="20" s="1"/>
  <c r="H15" i="3"/>
  <c r="E15" i="3"/>
  <c r="B15" i="3"/>
  <c r="R14" i="3"/>
  <c r="M14" i="3"/>
  <c r="H14" i="3"/>
  <c r="E14" i="3"/>
  <c r="B14" i="3"/>
  <c r="R13" i="3"/>
  <c r="M13" i="3"/>
  <c r="M13" i="19" s="1"/>
  <c r="H13" i="3"/>
  <c r="E13" i="3"/>
  <c r="B13" i="3"/>
  <c r="R12" i="3"/>
  <c r="M12" i="3"/>
  <c r="M12" i="19" s="1"/>
  <c r="H12" i="3"/>
  <c r="E12" i="3"/>
  <c r="B12" i="3"/>
  <c r="R11" i="3"/>
  <c r="M11" i="3"/>
  <c r="H11" i="3"/>
  <c r="E11" i="3"/>
  <c r="B11" i="3"/>
  <c r="B22" i="2"/>
  <c r="B21" i="2"/>
  <c r="B20" i="2"/>
  <c r="B19" i="2"/>
  <c r="B18" i="2"/>
  <c r="B17" i="2"/>
  <c r="W16" i="2"/>
  <c r="V16" i="2"/>
  <c r="T16" i="2"/>
  <c r="S16" i="2"/>
  <c r="O16" i="2"/>
  <c r="N16" i="2"/>
  <c r="M16" i="2"/>
  <c r="L16" i="2"/>
  <c r="B16" i="2"/>
  <c r="W15" i="2"/>
  <c r="V15" i="2"/>
  <c r="T15" i="2"/>
  <c r="S15" i="2"/>
  <c r="Q15" i="2"/>
  <c r="R15" i="2" s="1"/>
  <c r="P15" i="2"/>
  <c r="O15" i="2"/>
  <c r="N15" i="2"/>
  <c r="M15" i="2"/>
  <c r="B15" i="2"/>
  <c r="W14" i="2"/>
  <c r="V14" i="2"/>
  <c r="T14" i="2"/>
  <c r="S14" i="2"/>
  <c r="Q14" i="2"/>
  <c r="P14" i="2"/>
  <c r="O14" i="2"/>
  <c r="N14" i="2"/>
  <c r="M14" i="2"/>
  <c r="L14" i="2"/>
  <c r="B14" i="2"/>
  <c r="W13" i="2"/>
  <c r="V13" i="2"/>
  <c r="U13" i="2"/>
  <c r="T13" i="2"/>
  <c r="S13" i="2"/>
  <c r="Q13" i="2"/>
  <c r="P13" i="2"/>
  <c r="O13" i="2"/>
  <c r="N13" i="2"/>
  <c r="M13" i="2"/>
  <c r="L13" i="2"/>
  <c r="B13" i="2"/>
  <c r="W12" i="2"/>
  <c r="V12" i="2"/>
  <c r="T12" i="2"/>
  <c r="S12" i="2"/>
  <c r="Q12" i="2"/>
  <c r="P12" i="2"/>
  <c r="O12" i="2"/>
  <c r="N12" i="2"/>
  <c r="M12" i="2"/>
  <c r="L12" i="2"/>
  <c r="B12" i="2"/>
  <c r="W11" i="2"/>
  <c r="V11" i="2"/>
  <c r="T11" i="2"/>
  <c r="S11" i="2"/>
  <c r="Q11" i="2"/>
  <c r="P11" i="2"/>
  <c r="O11" i="2"/>
  <c r="N11" i="2"/>
  <c r="M11" i="2"/>
  <c r="L11" i="2"/>
  <c r="B11" i="2"/>
  <c r="W7" i="2"/>
  <c r="V7" i="2"/>
  <c r="U7" i="2"/>
  <c r="T7" i="2"/>
  <c r="S7" i="2"/>
  <c r="R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22" i="1"/>
  <c r="D21" i="1"/>
  <c r="C21" i="1"/>
  <c r="B21" i="1"/>
  <c r="D20" i="1"/>
  <c r="C20" i="1"/>
  <c r="B20" i="1"/>
  <c r="D19" i="1"/>
  <c r="C19" i="1"/>
  <c r="B19" i="1"/>
  <c r="C18" i="1"/>
  <c r="B18" i="1"/>
  <c r="Q17" i="1"/>
  <c r="P17" i="1"/>
  <c r="O17" i="1"/>
  <c r="C17" i="1"/>
  <c r="B17" i="1"/>
  <c r="Q16" i="1"/>
  <c r="O16" i="1"/>
  <c r="C16" i="1"/>
  <c r="B16" i="1"/>
  <c r="Q15" i="1"/>
  <c r="O15" i="1"/>
  <c r="D15" i="1"/>
  <c r="C15" i="1"/>
  <c r="B15" i="1"/>
  <c r="Q14" i="1"/>
  <c r="P14" i="1"/>
  <c r="O14" i="1"/>
  <c r="C14" i="1"/>
  <c r="B14" i="1"/>
  <c r="Q13" i="1"/>
  <c r="P13" i="1"/>
  <c r="O13" i="1"/>
  <c r="C13" i="1"/>
  <c r="B13" i="1"/>
  <c r="Q12" i="1"/>
  <c r="O12" i="1"/>
  <c r="C12" i="1"/>
  <c r="B12" i="1"/>
  <c r="Q11" i="1"/>
  <c r="P11" i="1"/>
  <c r="O11" i="1"/>
  <c r="C11" i="1"/>
  <c r="B11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H20" i="23" l="1"/>
  <c r="H20" i="25"/>
  <c r="H19" i="18"/>
  <c r="H19" i="25"/>
  <c r="E19" i="18"/>
  <c r="U16" i="2"/>
  <c r="H19" i="22"/>
  <c r="H18" i="25"/>
  <c r="H19" i="17"/>
  <c r="F19" i="24"/>
  <c r="H19" i="24" s="1"/>
  <c r="Q18" i="22"/>
  <c r="R18" i="22" s="1"/>
  <c r="R18" i="28"/>
  <c r="S5" i="28"/>
  <c r="S5" i="27"/>
  <c r="H17" i="23"/>
  <c r="H13" i="22"/>
  <c r="H14" i="21"/>
  <c r="E16" i="22"/>
  <c r="J5" i="23"/>
  <c r="I5" i="23"/>
  <c r="M17" i="17"/>
  <c r="M12" i="17"/>
  <c r="H12" i="2"/>
  <c r="H16" i="2"/>
  <c r="H14" i="2"/>
  <c r="M15" i="18"/>
  <c r="H15" i="2"/>
  <c r="H17" i="25"/>
  <c r="E17" i="25"/>
  <c r="E14" i="23"/>
  <c r="E17" i="23"/>
  <c r="E17" i="24"/>
  <c r="L6" i="27"/>
  <c r="R16" i="2"/>
  <c r="H16" i="23"/>
  <c r="E16" i="23"/>
  <c r="S5" i="20"/>
  <c r="S5" i="26"/>
  <c r="V6" i="2"/>
  <c r="S5" i="22"/>
  <c r="N6" i="2"/>
  <c r="N5" i="2"/>
  <c r="M5" i="27"/>
  <c r="R12" i="2"/>
  <c r="Q6" i="2"/>
  <c r="O6" i="2"/>
  <c r="O5" i="2"/>
  <c r="P6" i="2"/>
  <c r="K5" i="2"/>
  <c r="J5" i="29"/>
  <c r="J5" i="30"/>
  <c r="P6" i="20"/>
  <c r="P6" i="28"/>
  <c r="M6" i="2"/>
  <c r="M5" i="2"/>
  <c r="L6" i="2"/>
  <c r="L5" i="2"/>
  <c r="H15" i="25"/>
  <c r="E11" i="18"/>
  <c r="D15" i="24"/>
  <c r="E15" i="24" s="1"/>
  <c r="H15" i="23"/>
  <c r="H14" i="18"/>
  <c r="F5" i="25"/>
  <c r="E13" i="26"/>
  <c r="E11" i="25"/>
  <c r="H12" i="24"/>
  <c r="H11" i="17"/>
  <c r="H14" i="24"/>
  <c r="G5" i="23"/>
  <c r="H12" i="15"/>
  <c r="E17" i="31"/>
  <c r="E17" i="19"/>
  <c r="E14" i="31"/>
  <c r="E21" i="31"/>
  <c r="E16" i="31"/>
  <c r="M20" i="1"/>
  <c r="N14" i="11"/>
  <c r="E18" i="31"/>
  <c r="E12" i="31"/>
  <c r="E13" i="31"/>
  <c r="F6" i="1"/>
  <c r="H13" i="19"/>
  <c r="E14" i="19"/>
  <c r="J15" i="2"/>
  <c r="M16" i="15"/>
  <c r="H21" i="15"/>
  <c r="H15" i="20"/>
  <c r="H18" i="15"/>
  <c r="H17" i="15"/>
  <c r="M21" i="1"/>
  <c r="D5" i="31"/>
  <c r="E15" i="31"/>
  <c r="N12" i="11"/>
  <c r="L6" i="1"/>
  <c r="L5" i="1"/>
  <c r="N22" i="11"/>
  <c r="M22" i="1"/>
  <c r="G21" i="11"/>
  <c r="G21" i="31" s="1"/>
  <c r="H21" i="31" s="1"/>
  <c r="N20" i="11"/>
  <c r="E20" i="31"/>
  <c r="G18" i="11"/>
  <c r="G18" i="31" s="1"/>
  <c r="H18" i="31" s="1"/>
  <c r="G17" i="11"/>
  <c r="H17" i="11" s="1"/>
  <c r="N17" i="1" s="1"/>
  <c r="G16" i="11"/>
  <c r="C5" i="31"/>
  <c r="H14" i="11"/>
  <c r="N14" i="1" s="1"/>
  <c r="G13" i="31"/>
  <c r="H13" i="31" s="1"/>
  <c r="H13" i="11"/>
  <c r="N13" i="1" s="1"/>
  <c r="M5" i="31"/>
  <c r="H11" i="11"/>
  <c r="N11" i="1" s="1"/>
  <c r="N11" i="11"/>
  <c r="K6" i="1"/>
  <c r="K5" i="1"/>
  <c r="Q5" i="1"/>
  <c r="Q6" i="1"/>
  <c r="P5" i="1"/>
  <c r="P6" i="1"/>
  <c r="O5" i="1"/>
  <c r="O6" i="1"/>
  <c r="R19" i="21"/>
  <c r="J5" i="1"/>
  <c r="J6" i="1"/>
  <c r="N5" i="19"/>
  <c r="I6" i="1"/>
  <c r="M16" i="20"/>
  <c r="M19" i="19"/>
  <c r="M18" i="19"/>
  <c r="M15" i="19"/>
  <c r="M13" i="20"/>
  <c r="G6" i="1"/>
  <c r="G5" i="1"/>
  <c r="E6" i="1"/>
  <c r="H17" i="19"/>
  <c r="H21" i="19"/>
  <c r="E13" i="19"/>
  <c r="C5" i="1"/>
  <c r="P6" i="26"/>
  <c r="P5" i="28"/>
  <c r="Q15" i="24"/>
  <c r="R15" i="24" s="1"/>
  <c r="Q15" i="27"/>
  <c r="R15" i="27" s="1"/>
  <c r="U15" i="2"/>
  <c r="P5" i="27"/>
  <c r="T5" i="2"/>
  <c r="R13" i="24"/>
  <c r="U12" i="2"/>
  <c r="P6" i="27"/>
  <c r="U11" i="2"/>
  <c r="P6" i="22"/>
  <c r="R14" i="2"/>
  <c r="L5" i="27"/>
  <c r="R11" i="2"/>
  <c r="M6" i="27"/>
  <c r="E17" i="26"/>
  <c r="E16" i="26"/>
  <c r="E22" i="18"/>
  <c r="E13" i="18"/>
  <c r="M17" i="18"/>
  <c r="H22" i="26"/>
  <c r="E15" i="18"/>
  <c r="M16" i="18"/>
  <c r="H21" i="18"/>
  <c r="H13" i="25"/>
  <c r="E15" i="26"/>
  <c r="M11" i="18"/>
  <c r="O6" i="26"/>
  <c r="J14" i="2"/>
  <c r="H13" i="18"/>
  <c r="I5" i="26"/>
  <c r="H18" i="18"/>
  <c r="M12" i="18"/>
  <c r="E17" i="18"/>
  <c r="H21" i="25"/>
  <c r="E16" i="18"/>
  <c r="N5" i="25"/>
  <c r="J5" i="26"/>
  <c r="M20" i="18"/>
  <c r="N6" i="26"/>
  <c r="M18" i="18"/>
  <c r="E14" i="18"/>
  <c r="H16" i="18"/>
  <c r="H15" i="26"/>
  <c r="E21" i="26"/>
  <c r="G18" i="26"/>
  <c r="H18" i="26" s="1"/>
  <c r="E13" i="17"/>
  <c r="H22" i="23"/>
  <c r="H13" i="23"/>
  <c r="V5" i="31"/>
  <c r="H15" i="17"/>
  <c r="H22" i="24"/>
  <c r="H21" i="24"/>
  <c r="R16" i="21"/>
  <c r="M15" i="17"/>
  <c r="H18" i="23"/>
  <c r="M22" i="17"/>
  <c r="H11" i="23"/>
  <c r="E12" i="23"/>
  <c r="H19" i="23"/>
  <c r="E13" i="24"/>
  <c r="H21" i="17"/>
  <c r="E11" i="23"/>
  <c r="H12" i="17"/>
  <c r="E17" i="17"/>
  <c r="V5" i="19"/>
  <c r="E20" i="23"/>
  <c r="E21" i="24"/>
  <c r="H22" i="17"/>
  <c r="M22" i="23"/>
  <c r="E19" i="24"/>
  <c r="E16" i="24"/>
  <c r="E19" i="17"/>
  <c r="E19" i="23"/>
  <c r="M19" i="17"/>
  <c r="D5" i="23"/>
  <c r="R21" i="25"/>
  <c r="H13" i="21"/>
  <c r="E22" i="21"/>
  <c r="R22" i="23"/>
  <c r="H15" i="22"/>
  <c r="T5" i="21"/>
  <c r="T5" i="19"/>
  <c r="R16" i="19"/>
  <c r="R19" i="25"/>
  <c r="O6" i="22"/>
  <c r="M11" i="16"/>
  <c r="R18" i="23"/>
  <c r="R15" i="25"/>
  <c r="R17" i="31"/>
  <c r="R22" i="31"/>
  <c r="H18" i="22"/>
  <c r="R17" i="19"/>
  <c r="E16" i="21"/>
  <c r="R21" i="21"/>
  <c r="H11" i="21"/>
  <c r="E17" i="22"/>
  <c r="V5" i="21"/>
  <c r="E11" i="16"/>
  <c r="M13" i="16"/>
  <c r="H16" i="16"/>
  <c r="R22" i="21"/>
  <c r="V5" i="23"/>
  <c r="H15" i="16"/>
  <c r="M22" i="16"/>
  <c r="R14" i="19"/>
  <c r="E12" i="21"/>
  <c r="R13" i="21"/>
  <c r="R18" i="19"/>
  <c r="R22" i="19"/>
  <c r="H16" i="21"/>
  <c r="R13" i="25"/>
  <c r="E5" i="1"/>
  <c r="E19" i="22"/>
  <c r="M21" i="16"/>
  <c r="I5" i="21"/>
  <c r="E13" i="21"/>
  <c r="R18" i="21"/>
  <c r="R15" i="31"/>
  <c r="R20" i="31"/>
  <c r="F14" i="2"/>
  <c r="O5" i="21"/>
  <c r="H17" i="21"/>
  <c r="R17" i="25"/>
  <c r="R15" i="29"/>
  <c r="R22" i="29"/>
  <c r="R11" i="30"/>
  <c r="R18" i="30"/>
  <c r="R17" i="23"/>
  <c r="D14" i="2"/>
  <c r="J16" i="2"/>
  <c r="M20" i="16"/>
  <c r="R19" i="29"/>
  <c r="R15" i="30"/>
  <c r="R22" i="30"/>
  <c r="R16" i="31"/>
  <c r="R21" i="31"/>
  <c r="J11" i="2"/>
  <c r="D11" i="22"/>
  <c r="E11" i="22" s="1"/>
  <c r="E17" i="16"/>
  <c r="H18" i="16"/>
  <c r="M19" i="16"/>
  <c r="C22" i="2"/>
  <c r="R12" i="19"/>
  <c r="F16" i="22"/>
  <c r="H16" i="22" s="1"/>
  <c r="R16" i="23"/>
  <c r="H14" i="22"/>
  <c r="K5" i="21"/>
  <c r="T5" i="25"/>
  <c r="E16" i="16"/>
  <c r="C5" i="21"/>
  <c r="R12" i="21"/>
  <c r="E15" i="21"/>
  <c r="N5" i="21"/>
  <c r="I16" i="22"/>
  <c r="R11" i="23"/>
  <c r="R20" i="29"/>
  <c r="R16" i="30"/>
  <c r="H17" i="22"/>
  <c r="E15" i="22"/>
  <c r="E21" i="22"/>
  <c r="R13" i="19"/>
  <c r="R21" i="19"/>
  <c r="D5" i="21"/>
  <c r="V5" i="25"/>
  <c r="M12" i="16"/>
  <c r="M18" i="16"/>
  <c r="R17" i="21"/>
  <c r="H19" i="21"/>
  <c r="T5" i="23"/>
  <c r="R18" i="31"/>
  <c r="P5" i="29"/>
  <c r="R14" i="29"/>
  <c r="R21" i="29"/>
  <c r="R17" i="30"/>
  <c r="R14" i="31"/>
  <c r="R11" i="29"/>
  <c r="R19" i="31"/>
  <c r="G17" i="20"/>
  <c r="H17" i="20" s="1"/>
  <c r="E21" i="15"/>
  <c r="H22" i="15"/>
  <c r="E12" i="19"/>
  <c r="J12" i="2"/>
  <c r="E16" i="19"/>
  <c r="E19" i="19"/>
  <c r="H22" i="19"/>
  <c r="J16" i="20"/>
  <c r="R14" i="25"/>
  <c r="R18" i="29"/>
  <c r="R14" i="30"/>
  <c r="R21" i="30"/>
  <c r="H21" i="20"/>
  <c r="H19" i="19"/>
  <c r="T5" i="29"/>
  <c r="P5" i="30"/>
  <c r="P5" i="31"/>
  <c r="C5" i="19"/>
  <c r="R14" i="21"/>
  <c r="R19" i="23"/>
  <c r="V5" i="29"/>
  <c r="R12" i="29"/>
  <c r="R11" i="31"/>
  <c r="T5" i="30"/>
  <c r="T5" i="31"/>
  <c r="E19" i="20"/>
  <c r="E13" i="20"/>
  <c r="E19" i="15"/>
  <c r="R11" i="19"/>
  <c r="P5" i="19"/>
  <c r="G12" i="20"/>
  <c r="H12" i="20" s="1"/>
  <c r="D21" i="20"/>
  <c r="E21" i="20" s="1"/>
  <c r="R11" i="21"/>
  <c r="R13" i="23"/>
  <c r="R16" i="29"/>
  <c r="V5" i="30"/>
  <c r="R12" i="30"/>
  <c r="R19" i="30"/>
  <c r="R12" i="31"/>
  <c r="O5" i="19"/>
  <c r="P5" i="21"/>
  <c r="E21" i="19"/>
  <c r="I12" i="20"/>
  <c r="R20" i="23"/>
  <c r="R13" i="29"/>
  <c r="M15" i="15"/>
  <c r="R12" i="25"/>
  <c r="R18" i="25"/>
  <c r="D5" i="1"/>
  <c r="M14" i="15"/>
  <c r="H14" i="19"/>
  <c r="E18" i="19"/>
  <c r="R16" i="25"/>
  <c r="R13" i="31"/>
  <c r="R22" i="25"/>
  <c r="R17" i="29"/>
  <c r="R13" i="30"/>
  <c r="R20" i="30"/>
  <c r="J19" i="20"/>
  <c r="F5" i="1"/>
  <c r="E14" i="2"/>
  <c r="E11" i="15"/>
  <c r="D5" i="19"/>
  <c r="E15" i="19"/>
  <c r="H11" i="15"/>
  <c r="E22" i="20"/>
  <c r="H11" i="19"/>
  <c r="H15" i="19"/>
  <c r="H18" i="19"/>
  <c r="E22" i="19"/>
  <c r="L5" i="20"/>
  <c r="R20" i="21"/>
  <c r="R14" i="23"/>
  <c r="R21" i="23"/>
  <c r="R11" i="22"/>
  <c r="G16" i="24"/>
  <c r="H16" i="24" s="1"/>
  <c r="D16" i="2"/>
  <c r="G14" i="20"/>
  <c r="H14" i="15"/>
  <c r="I17" i="22"/>
  <c r="G12" i="31"/>
  <c r="H12" i="31" s="1"/>
  <c r="H12" i="11"/>
  <c r="N12" i="1" s="1"/>
  <c r="C17" i="2"/>
  <c r="D20" i="22"/>
  <c r="E20" i="22" s="1"/>
  <c r="E20" i="16"/>
  <c r="E21" i="16"/>
  <c r="R14" i="20"/>
  <c r="E13" i="16"/>
  <c r="D13" i="22"/>
  <c r="E13" i="22" s="1"/>
  <c r="E11" i="26"/>
  <c r="E11" i="21"/>
  <c r="W6" i="2"/>
  <c r="W5" i="2"/>
  <c r="E14" i="15"/>
  <c r="D14" i="20"/>
  <c r="E14" i="20" s="1"/>
  <c r="G20" i="22"/>
  <c r="H20" i="22" s="1"/>
  <c r="D20" i="2"/>
  <c r="H20" i="16"/>
  <c r="H16" i="17"/>
  <c r="G19" i="11"/>
  <c r="N19" i="11"/>
  <c r="F13" i="20"/>
  <c r="H13" i="20" s="1"/>
  <c r="D13" i="2"/>
  <c r="H18" i="20"/>
  <c r="H19" i="16"/>
  <c r="E19" i="26"/>
  <c r="Q5" i="19"/>
  <c r="F5" i="19"/>
  <c r="O5" i="22"/>
  <c r="Q20" i="22"/>
  <c r="R20" i="22" s="1"/>
  <c r="Q11" i="27"/>
  <c r="N13" i="11"/>
  <c r="N15" i="11"/>
  <c r="H13" i="15"/>
  <c r="I20" i="20"/>
  <c r="I21" i="20"/>
  <c r="J17" i="22"/>
  <c r="J5" i="22" s="1"/>
  <c r="I6" i="26"/>
  <c r="D18" i="26"/>
  <c r="E18" i="26" s="1"/>
  <c r="E18" i="18"/>
  <c r="E11" i="19"/>
  <c r="H11" i="16"/>
  <c r="D11" i="2"/>
  <c r="F11" i="22"/>
  <c r="H11" i="31"/>
  <c r="G15" i="31"/>
  <c r="H15" i="31" s="1"/>
  <c r="H15" i="11"/>
  <c r="N15" i="1" s="1"/>
  <c r="I11" i="20"/>
  <c r="E11" i="2"/>
  <c r="J21" i="20"/>
  <c r="T5" i="24"/>
  <c r="D15" i="20"/>
  <c r="E15" i="20" s="1"/>
  <c r="C15" i="2"/>
  <c r="G22" i="20"/>
  <c r="H22" i="20" s="1"/>
  <c r="D22" i="2"/>
  <c r="H5" i="1"/>
  <c r="I5" i="1"/>
  <c r="C13" i="2"/>
  <c r="G20" i="31"/>
  <c r="H20" i="31" s="1"/>
  <c r="H20" i="11"/>
  <c r="J11" i="20"/>
  <c r="F11" i="2"/>
  <c r="J12" i="20"/>
  <c r="F12" i="2"/>
  <c r="M15" i="16"/>
  <c r="M16" i="16"/>
  <c r="M13" i="17"/>
  <c r="H15" i="18"/>
  <c r="F17" i="26"/>
  <c r="H17" i="26" s="1"/>
  <c r="H17" i="18"/>
  <c r="O5" i="25"/>
  <c r="F5" i="27"/>
  <c r="Q11" i="26"/>
  <c r="Q11" i="28"/>
  <c r="Q11" i="24"/>
  <c r="Q11" i="20"/>
  <c r="Q17" i="27"/>
  <c r="R17" i="27" s="1"/>
  <c r="Q17" i="20"/>
  <c r="R17" i="20" s="1"/>
  <c r="Q17" i="26"/>
  <c r="R17" i="26" s="1"/>
  <c r="Q17" i="24"/>
  <c r="R17" i="24" s="1"/>
  <c r="Q17" i="22"/>
  <c r="R17" i="22" s="1"/>
  <c r="Q17" i="28"/>
  <c r="R17" i="28" s="1"/>
  <c r="M6" i="28"/>
  <c r="M5" i="28"/>
  <c r="P5" i="23"/>
  <c r="R15" i="23"/>
  <c r="E20" i="19"/>
  <c r="M17" i="19"/>
  <c r="M17" i="20"/>
  <c r="Q14" i="28"/>
  <c r="R14" i="28" s="1"/>
  <c r="Q14" i="24"/>
  <c r="R14" i="24" s="1"/>
  <c r="Q14" i="22"/>
  <c r="R14" i="22" s="1"/>
  <c r="Q14" i="27"/>
  <c r="R14" i="27" s="1"/>
  <c r="U14" i="2"/>
  <c r="Q14" i="26"/>
  <c r="R14" i="26" s="1"/>
  <c r="M18" i="15"/>
  <c r="M19" i="15"/>
  <c r="R15" i="21"/>
  <c r="D22" i="22"/>
  <c r="E22" i="22" s="1"/>
  <c r="E22" i="16"/>
  <c r="D18" i="24"/>
  <c r="E18" i="24" s="1"/>
  <c r="E18" i="17"/>
  <c r="E20" i="20"/>
  <c r="Q5" i="21"/>
  <c r="D16" i="20"/>
  <c r="E16" i="20" s="1"/>
  <c r="E16" i="15"/>
  <c r="C16" i="2"/>
  <c r="D17" i="2"/>
  <c r="H17" i="17"/>
  <c r="F17" i="24"/>
  <c r="H17" i="24" s="1"/>
  <c r="E22" i="24"/>
  <c r="N5" i="24"/>
  <c r="N6" i="24"/>
  <c r="E11" i="20"/>
  <c r="E15" i="15"/>
  <c r="D12" i="22"/>
  <c r="E12" i="22" s="1"/>
  <c r="E12" i="16"/>
  <c r="C12" i="2"/>
  <c r="H21" i="22"/>
  <c r="M11" i="20"/>
  <c r="M11" i="19"/>
  <c r="M14" i="20"/>
  <c r="M14" i="19"/>
  <c r="M20" i="19"/>
  <c r="M20" i="20"/>
  <c r="Q20" i="26"/>
  <c r="R20" i="26" s="1"/>
  <c r="Q20" i="27"/>
  <c r="R20" i="27" s="1"/>
  <c r="Q20" i="28"/>
  <c r="R20" i="28" s="1"/>
  <c r="Q20" i="20"/>
  <c r="R20" i="20" s="1"/>
  <c r="M13" i="22"/>
  <c r="M13" i="21"/>
  <c r="M16" i="22"/>
  <c r="M16" i="21"/>
  <c r="M19" i="22"/>
  <c r="M19" i="21"/>
  <c r="S5" i="2"/>
  <c r="C14" i="2"/>
  <c r="M15" i="23"/>
  <c r="M15" i="24"/>
  <c r="M18" i="24"/>
  <c r="M18" i="23"/>
  <c r="M21" i="24"/>
  <c r="M21" i="23"/>
  <c r="M13" i="18"/>
  <c r="R20" i="19"/>
  <c r="O5" i="20"/>
  <c r="O6" i="20"/>
  <c r="M12" i="23"/>
  <c r="E13" i="23"/>
  <c r="J14" i="24"/>
  <c r="J6" i="24" s="1"/>
  <c r="P5" i="24"/>
  <c r="P6" i="24"/>
  <c r="H22" i="27"/>
  <c r="H15" i="15"/>
  <c r="E17" i="15"/>
  <c r="H12" i="16"/>
  <c r="M17" i="16"/>
  <c r="E21" i="17"/>
  <c r="M14" i="18"/>
  <c r="D17" i="20"/>
  <c r="E17" i="20" s="1"/>
  <c r="R20" i="25"/>
  <c r="M17" i="26"/>
  <c r="H19" i="26"/>
  <c r="M15" i="22"/>
  <c r="M15" i="21"/>
  <c r="M18" i="21"/>
  <c r="M18" i="22"/>
  <c r="M21" i="22"/>
  <c r="M21" i="21"/>
  <c r="M12" i="15"/>
  <c r="H16" i="20"/>
  <c r="D18" i="20"/>
  <c r="E18" i="20" s="1"/>
  <c r="C18" i="2"/>
  <c r="E18" i="15"/>
  <c r="M21" i="15"/>
  <c r="E15" i="16"/>
  <c r="H22" i="22"/>
  <c r="E12" i="17"/>
  <c r="H20" i="24"/>
  <c r="H20" i="26"/>
  <c r="R15" i="19"/>
  <c r="L6" i="20"/>
  <c r="M14" i="21"/>
  <c r="H22" i="21"/>
  <c r="R15" i="22"/>
  <c r="M14" i="25"/>
  <c r="M19" i="25"/>
  <c r="E20" i="25"/>
  <c r="T5" i="26"/>
  <c r="D22" i="26"/>
  <c r="E22" i="26" s="1"/>
  <c r="U5" i="27"/>
  <c r="E6" i="27"/>
  <c r="E5" i="27"/>
  <c r="P5" i="2"/>
  <c r="D14" i="22"/>
  <c r="E14" i="22" s="1"/>
  <c r="E14" i="16"/>
  <c r="E11" i="17"/>
  <c r="E21" i="18"/>
  <c r="I5" i="19"/>
  <c r="F6" i="27"/>
  <c r="H11" i="27"/>
  <c r="Q5" i="2"/>
  <c r="R13" i="2"/>
  <c r="C11" i="2"/>
  <c r="C21" i="2"/>
  <c r="M14" i="24"/>
  <c r="M14" i="23"/>
  <c r="M17" i="24"/>
  <c r="M17" i="23"/>
  <c r="H16" i="15"/>
  <c r="M22" i="15"/>
  <c r="H13" i="16"/>
  <c r="H22" i="16"/>
  <c r="M16" i="17"/>
  <c r="H20" i="17"/>
  <c r="E22" i="17"/>
  <c r="H20" i="18"/>
  <c r="H21" i="26"/>
  <c r="H20" i="19"/>
  <c r="K5" i="23"/>
  <c r="Q5" i="23"/>
  <c r="R12" i="23"/>
  <c r="U5" i="26"/>
  <c r="M20" i="26"/>
  <c r="H16" i="19"/>
  <c r="D21" i="2"/>
  <c r="M13" i="25"/>
  <c r="M13" i="26"/>
  <c r="M16" i="25"/>
  <c r="M16" i="26"/>
  <c r="H14" i="16"/>
  <c r="D12" i="26"/>
  <c r="E12" i="26" s="1"/>
  <c r="E12" i="18"/>
  <c r="L5" i="19"/>
  <c r="L5" i="23"/>
  <c r="M20" i="23"/>
  <c r="M11" i="25"/>
  <c r="C5" i="25"/>
  <c r="M21" i="26"/>
  <c r="G18" i="24"/>
  <c r="H18" i="24" s="1"/>
  <c r="H18" i="17"/>
  <c r="E20" i="15"/>
  <c r="C20" i="2"/>
  <c r="I5" i="24"/>
  <c r="I6" i="24"/>
  <c r="D14" i="24"/>
  <c r="E14" i="24" s="1"/>
  <c r="E14" i="17"/>
  <c r="J5" i="19"/>
  <c r="R19" i="19"/>
  <c r="M11" i="21"/>
  <c r="J5" i="21"/>
  <c r="E21" i="21"/>
  <c r="O5" i="24"/>
  <c r="L5" i="25"/>
  <c r="F11" i="26"/>
  <c r="H11" i="26" s="1"/>
  <c r="O5" i="27"/>
  <c r="M20" i="15"/>
  <c r="E11" i="24"/>
  <c r="E20" i="17"/>
  <c r="D12" i="20"/>
  <c r="E12" i="20" s="1"/>
  <c r="E12" i="15"/>
  <c r="D18" i="22"/>
  <c r="E18" i="22" s="1"/>
  <c r="E18" i="16"/>
  <c r="H13" i="24"/>
  <c r="H12" i="18"/>
  <c r="G12" i="26"/>
  <c r="G6" i="26" s="1"/>
  <c r="K5" i="19"/>
  <c r="F11" i="20"/>
  <c r="H11" i="20" s="1"/>
  <c r="N6" i="20"/>
  <c r="N5" i="20"/>
  <c r="F5" i="21"/>
  <c r="M20" i="21"/>
  <c r="N6" i="22"/>
  <c r="L6" i="22"/>
  <c r="L5" i="22"/>
  <c r="O5" i="23"/>
  <c r="G5" i="25"/>
  <c r="E14" i="25"/>
  <c r="M13" i="24"/>
  <c r="M13" i="23"/>
  <c r="M16" i="24"/>
  <c r="M16" i="23"/>
  <c r="M19" i="23"/>
  <c r="M19" i="24"/>
  <c r="H11" i="29"/>
  <c r="H5" i="29" s="1"/>
  <c r="G5" i="29"/>
  <c r="H11" i="30"/>
  <c r="H5" i="30" s="1"/>
  <c r="G5" i="30"/>
  <c r="H19" i="15"/>
  <c r="H13" i="17"/>
  <c r="G5" i="19"/>
  <c r="G5" i="21"/>
  <c r="E14" i="21"/>
  <c r="H21" i="21"/>
  <c r="M12" i="22"/>
  <c r="D12" i="24"/>
  <c r="E12" i="24" s="1"/>
  <c r="P5" i="25"/>
  <c r="H12" i="25"/>
  <c r="H12" i="22"/>
  <c r="M14" i="17"/>
  <c r="P5" i="20"/>
  <c r="M11" i="15"/>
  <c r="H21" i="16"/>
  <c r="M15" i="26"/>
  <c r="M15" i="25"/>
  <c r="N5" i="27"/>
  <c r="N6" i="27"/>
  <c r="H22" i="11"/>
  <c r="E13" i="15"/>
  <c r="H20" i="15"/>
  <c r="E22" i="15"/>
  <c r="M14" i="16"/>
  <c r="H17" i="16"/>
  <c r="E19" i="16"/>
  <c r="H14" i="17"/>
  <c r="H15" i="24"/>
  <c r="E16" i="17"/>
  <c r="J6" i="26"/>
  <c r="H14" i="26"/>
  <c r="H12" i="19"/>
  <c r="H19" i="20"/>
  <c r="H12" i="21"/>
  <c r="C5" i="23"/>
  <c r="L5" i="24"/>
  <c r="L6" i="24"/>
  <c r="Q5" i="25"/>
  <c r="D5" i="25"/>
  <c r="R11" i="25"/>
  <c r="I5" i="25"/>
  <c r="M12" i="26"/>
  <c r="E14" i="26"/>
  <c r="Q22" i="22"/>
  <c r="R22" i="22" s="1"/>
  <c r="N5" i="23"/>
  <c r="E15" i="23"/>
  <c r="Q18" i="24"/>
  <c r="R18" i="24" s="1"/>
  <c r="D20" i="24"/>
  <c r="E20" i="24" s="1"/>
  <c r="Q12" i="26"/>
  <c r="R12" i="26" s="1"/>
  <c r="L6" i="26"/>
  <c r="H18" i="21"/>
  <c r="I6" i="27"/>
  <c r="I5" i="27"/>
  <c r="O6" i="27"/>
  <c r="N5" i="30"/>
  <c r="K5" i="31"/>
  <c r="Q15" i="26"/>
  <c r="R15" i="26" s="1"/>
  <c r="Q15" i="28"/>
  <c r="R15" i="28" s="1"/>
  <c r="Q21" i="27"/>
  <c r="R21" i="27" s="1"/>
  <c r="Q21" i="20"/>
  <c r="R21" i="20" s="1"/>
  <c r="Q21" i="26"/>
  <c r="R21" i="26" s="1"/>
  <c r="M21" i="19"/>
  <c r="M12" i="20"/>
  <c r="E17" i="21"/>
  <c r="Q12" i="22"/>
  <c r="R12" i="22" s="1"/>
  <c r="H12" i="23"/>
  <c r="S5" i="24"/>
  <c r="Q16" i="24"/>
  <c r="R16" i="24" s="1"/>
  <c r="Q21" i="24"/>
  <c r="R21" i="24" s="1"/>
  <c r="H11" i="25"/>
  <c r="Q18" i="26"/>
  <c r="R18" i="26" s="1"/>
  <c r="Q19" i="27"/>
  <c r="R19" i="27" s="1"/>
  <c r="Q19" i="20"/>
  <c r="R19" i="20" s="1"/>
  <c r="Q19" i="22"/>
  <c r="R19" i="22" s="1"/>
  <c r="L5" i="26"/>
  <c r="N5" i="31"/>
  <c r="O6" i="24"/>
  <c r="J5" i="25"/>
  <c r="N5" i="26"/>
  <c r="Q12" i="28"/>
  <c r="R12" i="28" s="1"/>
  <c r="E20" i="26"/>
  <c r="H20" i="21"/>
  <c r="Q21" i="22"/>
  <c r="R21" i="22" s="1"/>
  <c r="F5" i="23"/>
  <c r="H11" i="24"/>
  <c r="K5" i="25"/>
  <c r="O5" i="26"/>
  <c r="Q13" i="27"/>
  <c r="R13" i="27" s="1"/>
  <c r="Q13" i="20"/>
  <c r="R13" i="20" s="1"/>
  <c r="Q13" i="26"/>
  <c r="R13" i="26" s="1"/>
  <c r="Q16" i="27"/>
  <c r="R16" i="27" s="1"/>
  <c r="Q16" i="28"/>
  <c r="R16" i="28" s="1"/>
  <c r="Q19" i="26"/>
  <c r="R19" i="26" s="1"/>
  <c r="Q19" i="28"/>
  <c r="R19" i="28" s="1"/>
  <c r="Q22" i="26"/>
  <c r="R22" i="26" s="1"/>
  <c r="Q22" i="27"/>
  <c r="R22" i="27" s="1"/>
  <c r="Q22" i="28"/>
  <c r="R22" i="28" s="1"/>
  <c r="E20" i="18"/>
  <c r="Q12" i="20"/>
  <c r="R12" i="20" s="1"/>
  <c r="Q15" i="20"/>
  <c r="R15" i="20" s="1"/>
  <c r="Q18" i="20"/>
  <c r="R18" i="20" s="1"/>
  <c r="L5" i="21"/>
  <c r="E19" i="21"/>
  <c r="N5" i="22"/>
  <c r="P5" i="22"/>
  <c r="Q16" i="22"/>
  <c r="R16" i="22" s="1"/>
  <c r="Q12" i="24"/>
  <c r="R12" i="24" s="1"/>
  <c r="P5" i="26"/>
  <c r="Q16" i="26"/>
  <c r="R16" i="26" s="1"/>
  <c r="Q18" i="27"/>
  <c r="R18" i="27" s="1"/>
  <c r="E5" i="30"/>
  <c r="E5" i="28"/>
  <c r="Q5" i="29"/>
  <c r="Q5" i="30"/>
  <c r="Q5" i="31"/>
  <c r="J6" i="22" l="1"/>
  <c r="H5" i="21"/>
  <c r="M6" i="24"/>
  <c r="R5" i="2"/>
  <c r="H5" i="23"/>
  <c r="G5" i="2"/>
  <c r="G17" i="31"/>
  <c r="H17" i="31" s="1"/>
  <c r="E5" i="31"/>
  <c r="I6" i="2"/>
  <c r="I5" i="2"/>
  <c r="J6" i="2"/>
  <c r="J5" i="2"/>
  <c r="F5" i="2"/>
  <c r="F6" i="2"/>
  <c r="E6" i="2"/>
  <c r="E5" i="2"/>
  <c r="H5" i="2"/>
  <c r="G6" i="2"/>
  <c r="D5" i="2"/>
  <c r="C5" i="2"/>
  <c r="H21" i="11"/>
  <c r="H18" i="11"/>
  <c r="G16" i="31"/>
  <c r="H16" i="31" s="1"/>
  <c r="H16" i="11"/>
  <c r="N16" i="1" s="1"/>
  <c r="U5" i="2"/>
  <c r="H5" i="25"/>
  <c r="M5" i="26"/>
  <c r="E5" i="25"/>
  <c r="M5" i="23"/>
  <c r="F6" i="24"/>
  <c r="M5" i="24"/>
  <c r="F5" i="24"/>
  <c r="J5" i="24"/>
  <c r="M6" i="22"/>
  <c r="M5" i="22"/>
  <c r="G5" i="22"/>
  <c r="I5" i="22"/>
  <c r="G6" i="20"/>
  <c r="E5" i="19"/>
  <c r="H5" i="19"/>
  <c r="M5" i="19"/>
  <c r="M6" i="20"/>
  <c r="M5" i="20"/>
  <c r="I6" i="20"/>
  <c r="I5" i="20"/>
  <c r="M5" i="1"/>
  <c r="E6" i="22"/>
  <c r="E5" i="22"/>
  <c r="G6" i="22"/>
  <c r="H14" i="20"/>
  <c r="G5" i="20"/>
  <c r="M6" i="26"/>
  <c r="F6" i="20"/>
  <c r="F5" i="20"/>
  <c r="M5" i="25"/>
  <c r="G5" i="24"/>
  <c r="I6" i="22"/>
  <c r="M5" i="21"/>
  <c r="E5" i="23"/>
  <c r="Q6" i="20"/>
  <c r="R11" i="20"/>
  <c r="Q5" i="20"/>
  <c r="Q5" i="27"/>
  <c r="Q6" i="27"/>
  <c r="R11" i="27"/>
  <c r="E6" i="24"/>
  <c r="E5" i="24"/>
  <c r="Q5" i="24"/>
  <c r="Q6" i="24"/>
  <c r="R11" i="24"/>
  <c r="G19" i="31"/>
  <c r="H19" i="31" s="1"/>
  <c r="H19" i="11"/>
  <c r="H12" i="26"/>
  <c r="G5" i="26"/>
  <c r="R11" i="28"/>
  <c r="Q6" i="28"/>
  <c r="Q5" i="28"/>
  <c r="E5" i="21"/>
  <c r="E6" i="20"/>
  <c r="E5" i="20"/>
  <c r="Q6" i="26"/>
  <c r="Q5" i="26"/>
  <c r="R11" i="26"/>
  <c r="E6" i="26"/>
  <c r="E5" i="26"/>
  <c r="Q6" i="22"/>
  <c r="G6" i="24"/>
  <c r="F5" i="26"/>
  <c r="F6" i="26"/>
  <c r="J6" i="20"/>
  <c r="J5" i="20"/>
  <c r="F6" i="22"/>
  <c r="F5" i="22"/>
  <c r="H11" i="22"/>
  <c r="Q5" i="22"/>
  <c r="N5" i="1" l="1"/>
  <c r="H5" i="31"/>
  <c r="N6" i="1"/>
  <c r="G5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tc={A9135190-788C-46D2-A318-AE6463AD3DFB}</author>
    <author>tc={3BA81B82-164C-4BD1-BED7-95641D9E5DE8}</author>
  </authors>
  <commentList>
    <comment ref="C20" authorId="0" shapeId="0" xr:uid="{A9135190-788C-46D2-A318-AE6463AD3DFB}">
      <text>
        <t>[Threaded comment]
Your version of Excel allows you to read this threaded comment; however, any edits to it will get removed if the file is opened in a newer version of Excel. Learn more: https://go.microsoft.com/fwlink/?linkid=870924
Comment:
    Counted individually, did not use powerBI report</t>
      </text>
    </comment>
    <comment ref="C34" authorId="1" shapeId="0" xr:uid="{3BA81B82-164C-4BD1-BED7-95641D9E5DE8}">
      <text>
        <t>[Threaded comment]
Your version of Excel allows you to read this threaded comment; however, any edits to it will get removed if the file is opened in a newer version of Excel. Learn more: https://go.microsoft.com/fwlink/?linkid=870924
Comment:
    Counted individually, did not use PowerBI report</t>
      </text>
    </comment>
  </commentList>
</comments>
</file>

<file path=xl/sharedStrings.xml><?xml version="1.0" encoding="utf-8"?>
<sst xmlns="http://schemas.openxmlformats.org/spreadsheetml/2006/main" count="1966" uniqueCount="178">
  <si>
    <t>QUALITY</t>
  </si>
  <si>
    <t>ACCESS</t>
  </si>
  <si>
    <t>ACCOUNTABILITY</t>
  </si>
  <si>
    <t>FINANCE</t>
  </si>
  <si>
    <t>Breakdown</t>
  </si>
  <si>
    <t>Cell</t>
  </si>
  <si>
    <t>Portland</t>
  </si>
  <si>
    <t>Vancouver</t>
  </si>
  <si>
    <t>Salem</t>
  </si>
  <si>
    <t>Bend</t>
  </si>
  <si>
    <t>Surgical</t>
  </si>
  <si>
    <t>YTD</t>
  </si>
  <si>
    <t>YTD Average</t>
  </si>
  <si>
    <t>Average</t>
  </si>
  <si>
    <t>TARGET</t>
  </si>
  <si>
    <t>CSSR-S</t>
  </si>
  <si>
    <t>CSSR-E</t>
  </si>
  <si>
    <t>CLINIC CANCELLATIONS &lt; 45 DAYS</t>
  </si>
  <si>
    <t>Actual Available</t>
  </si>
  <si>
    <t>Actual SCHEDULE UTILIZATION</t>
  </si>
  <si>
    <t>CONSULTS &gt; 30 DAYS</t>
  </si>
  <si>
    <t>Surgeries</t>
  </si>
  <si>
    <t>Cataracts</t>
  </si>
  <si>
    <t xml:space="preserve">S.A.V.E. Training </t>
  </si>
  <si>
    <t>Unsigned Notes &gt; 7 Days</t>
  </si>
  <si>
    <t>Encounters &gt; 7 Days</t>
  </si>
  <si>
    <t>Overtime</t>
  </si>
  <si>
    <t>Comp-Time</t>
  </si>
  <si>
    <t>Survey Section 1</t>
  </si>
  <si>
    <t>Survey Section 2</t>
  </si>
  <si>
    <t>Survey Section 3</t>
  </si>
  <si>
    <t>Survey Section 4</t>
  </si>
  <si>
    <t>% Complete</t>
  </si>
  <si>
    <t># of Clinics</t>
  </si>
  <si>
    <t>#of Patients</t>
  </si>
  <si>
    <t># of slots</t>
  </si>
  <si>
    <t>% Use</t>
  </si>
  <si>
    <t>O.B. Slots</t>
  </si>
  <si>
    <t># Consults</t>
  </si>
  <si>
    <t># Complete</t>
  </si>
  <si>
    <t># of Notes</t>
  </si>
  <si>
    <t># Encounters</t>
  </si>
  <si>
    <t># of Hours</t>
  </si>
  <si>
    <t>Optical Walk-ins</t>
  </si>
  <si>
    <t>Optical Exceptions</t>
  </si>
  <si>
    <t>OFL Wait Time/Volume</t>
  </si>
  <si>
    <t>Optical</t>
  </si>
  <si>
    <t>NA</t>
  </si>
  <si>
    <t xml:space="preserve">Overtime </t>
  </si>
  <si>
    <t xml:space="preserve">Comp-Time </t>
  </si>
  <si>
    <t>Actual Used</t>
  </si>
  <si>
    <t>Actual Utilization</t>
  </si>
  <si>
    <t>Employee Caused</t>
  </si>
  <si>
    <t xml:space="preserve">Non Employee Caused </t>
  </si>
  <si>
    <t>Total</t>
  </si>
  <si>
    <t>Average Wait Time (in weeks)</t>
  </si>
  <si>
    <t>Total Glasses Ordered</t>
  </si>
  <si>
    <t>%</t>
  </si>
  <si>
    <t>DATA ENTRY SHEET: _Imp_Portland  (Enter values only in yellow cells)</t>
  </si>
  <si>
    <t>OPHTHALMOLOGY CLINIC METRICS (Site Entry)</t>
  </si>
  <si>
    <t>OPTOMETRY CLINIC METRICS (Site Entry)</t>
  </si>
  <si>
    <t>Month</t>
  </si>
  <si>
    <t>CSSR-S Total Due (Denom)</t>
  </si>
  <si>
    <t>CSSR-S Completed (Numer)</t>
  </si>
  <si>
    <t>CSSR-S % (auto)</t>
  </si>
  <si>
    <t>CSRE Total Due (Denom)</t>
  </si>
  <si>
    <t>CSRE Completed (Numer)</t>
  </si>
  <si>
    <t>CSRE % (auto)</t>
  </si>
  <si>
    <t>Cancellations &lt;45d - # Clinics</t>
  </si>
  <si>
    <t>Cancellations &lt;45d - # Patients</t>
  </si>
  <si>
    <t>Actual Slots Available</t>
  </si>
  <si>
    <t>Actual Slots Used</t>
  </si>
  <si>
    <t>Schedule Util % (auto)</t>
  </si>
  <si>
    <t>O.B. Slots (count)</t>
  </si>
  <si>
    <t>Consults &gt; 30 Days (count)</t>
  </si>
  <si>
    <t>Employees (Total)</t>
  </si>
  <si>
    <t>SAVE Past Due (count)</t>
  </si>
  <si>
    <t>SAVE Past Due % (auto)</t>
  </si>
  <si>
    <t>Unsigned Notes &gt; 7 Days (count)</t>
  </si>
  <si>
    <t>Encounters &gt; 7 Days (count)</t>
  </si>
  <si>
    <t>Overtime Hours (decimal)</t>
  </si>
  <si>
    <t>Comp-Time Hours (decimal)</t>
  </si>
  <si>
    <t>Survey H1 Section 1 (score)</t>
  </si>
  <si>
    <t>Survey H1 Section 2 (score)</t>
  </si>
  <si>
    <t>Survey H1 Section 3 (score)</t>
  </si>
  <si>
    <t>Survey H1 Section 4 (score)</t>
  </si>
  <si>
    <t>Survey H2 Section 1 (score)</t>
  </si>
  <si>
    <t>Survey H2 Section 2 (score)</t>
  </si>
  <si>
    <t>Survey H2 Section 3 (score)</t>
  </si>
  <si>
    <t>Survey H2 Section 4 (score)</t>
  </si>
  <si>
    <t>DATA ENTRY SHEET: _Imp_Vancouver  (Enter values only in yellow cells)</t>
  </si>
  <si>
    <t>DATA ENTRY SHEET: _Imp_Salem  (Enter values only in yellow cells)</t>
  </si>
  <si>
    <t>DATA ENTRY SHEET: _Imp_Bend  (Enter values only in yellow cells)</t>
  </si>
  <si>
    <t>DATA ENTRY SHEET: _Imp_Optical  (Enter values only in yellow cells)</t>
  </si>
  <si>
    <t>Optical Walk-in Slots Available</t>
  </si>
  <si>
    <t>Optical Walk-in Slots Used</t>
  </si>
  <si>
    <t>Optical Walk-in Util % (auto)</t>
  </si>
  <si>
    <t>Exceptions - Employee Caused</t>
  </si>
  <si>
    <t>Exceptions - Non-Employee Caused</t>
  </si>
  <si>
    <t>Exceptions - Total (auto)</t>
  </si>
  <si>
    <t>OFL Avg Wait Time (weeks)</t>
  </si>
  <si>
    <t>DATA ENTRY SHEET: _Imp_Nursing  (Enter values only in yellow cells)</t>
  </si>
  <si>
    <t>DATA ENTRY SHEET: _Imp_Supervisory  (Enter values only in yellow cells)</t>
  </si>
  <si>
    <t>DATA ENTRY SHEET: _Imp_OptometryGroup  (Enter values only in yellow cells)</t>
  </si>
  <si>
    <t>OPTOMETRY CLINIC METRICS (Group Entry)</t>
  </si>
  <si>
    <t>DATA ENTRY SHEET: _Imp_Surgical  (Enter values only in yellow cells)</t>
  </si>
  <si>
    <t>Surgeries # Complete (count)</t>
  </si>
  <si>
    <t>Cataracts # Complete (count)</t>
  </si>
  <si>
    <t>CSSR-E % (auto)</t>
  </si>
  <si>
    <t>Department</t>
  </si>
  <si>
    <t>Optometry</t>
  </si>
  <si>
    <t>Ophthalmology</t>
  </si>
  <si>
    <t>Nursing</t>
  </si>
  <si>
    <t>Supervisory</t>
  </si>
  <si>
    <t>Fiscal Year Starting Year</t>
  </si>
  <si>
    <t>CSSR-S Complete Goal</t>
  </si>
  <si>
    <t>CSSR-E Complete Goal</t>
  </si>
  <si>
    <t>Clinic Cancelations # of Clinics</t>
  </si>
  <si>
    <t>Clinic Cancelations # of People</t>
  </si>
  <si>
    <t># of Slots Goal</t>
  </si>
  <si>
    <t>% Utilization</t>
  </si>
  <si>
    <t>Consults &gt; 30 Days</t>
  </si>
  <si>
    <t>Surgeries Complete</t>
  </si>
  <si>
    <t>Cataracts Complete</t>
  </si>
  <si>
    <t>&lt;25</t>
  </si>
  <si>
    <t>Accountability</t>
  </si>
  <si>
    <t>Finance</t>
  </si>
  <si>
    <t>S.A.V.E. Training complete Goal</t>
  </si>
  <si>
    <t xml:space="preserve"> Comp-Time</t>
  </si>
  <si>
    <t>People</t>
  </si>
  <si>
    <t>Recognition Score</t>
  </si>
  <si>
    <t>Staff Satisfaction/AES</t>
  </si>
  <si>
    <t>Pshychological Safety/AES</t>
  </si>
  <si>
    <t>Employee Caused Exceptions</t>
  </si>
  <si>
    <t>Non Employee Caused Exceptions</t>
  </si>
  <si>
    <t>Total Exceptions</t>
  </si>
  <si>
    <t>Glasses wait time</t>
  </si>
  <si>
    <t>Glasses Volume</t>
  </si>
  <si>
    <t>&lt;=1%</t>
  </si>
  <si>
    <t>&lt;=2%</t>
  </si>
  <si>
    <t>DATA ENTRY SHEET: _Imp_Portland_Optom  (Enter values only in yellow cells)</t>
  </si>
  <si>
    <t>OPTOMETRY CLINIC METRICS (Mirrors Site Sheet)</t>
  </si>
  <si>
    <t>SAVE Past Due</t>
  </si>
  <si>
    <t>DATA ENTRY SHEET: _Imp_Vancouver_Optom  (Enter values only in yellow cells)</t>
  </si>
  <si>
    <t>DATA ENTRY SHEET: _Imp_Salem_Optom  (Enter values only in yellow cells)</t>
  </si>
  <si>
    <t>DATA ENTRY SHEET: _Imp_Bend_Optom  (Enter values only in yellow cells)</t>
  </si>
  <si>
    <t>Portland Ophthalmology Clinics Dashboard</t>
  </si>
  <si>
    <t>Psychological Safety/AES</t>
  </si>
  <si>
    <t>All</t>
  </si>
  <si>
    <t>Portland Optometry Clinics Dashboard</t>
  </si>
  <si>
    <t>Vancouver Ophthalmology Clinics Dashboard</t>
  </si>
  <si>
    <t>Vancouver Optometry Clinics Dashboard</t>
  </si>
  <si>
    <t>Salem Ophthalmology Clinics Dashboard</t>
  </si>
  <si>
    <t>Salem Optometry Clinics Dashboard</t>
  </si>
  <si>
    <t>Bend Ophthalmology Clinics Dashboard</t>
  </si>
  <si>
    <t>Bend Optometry Clinics Dashboard</t>
  </si>
  <si>
    <t>Optical Dashboard</t>
  </si>
  <si>
    <t>Optometry Group Dashboard</t>
  </si>
  <si>
    <t>Nursing Dashboard</t>
  </si>
  <si>
    <t>Supervisory Dashboard</t>
  </si>
  <si>
    <t>Ophthalmology Group Dashboard</t>
  </si>
  <si>
    <t>LENS Survey</t>
  </si>
  <si>
    <t>CssRs Goal</t>
  </si>
  <si>
    <t>CSRE Goal</t>
  </si>
  <si>
    <t>Clinic Utilization Goal</t>
  </si>
  <si>
    <t>CSRE</t>
  </si>
  <si>
    <t>Surgery Cx</t>
  </si>
  <si>
    <t>% Done</t>
  </si>
  <si>
    <t>%Complete</t>
  </si>
  <si>
    <t># consults &gt;7 d old</t>
  </si>
  <si>
    <t>Consult Tracking Manager</t>
  </si>
  <si>
    <t>Oldest Last touched date</t>
  </si>
  <si>
    <t xml:space="preserve">WEEK of </t>
  </si>
  <si>
    <t>Open Encounters</t>
  </si>
  <si>
    <t>Encounters 7+ d old</t>
  </si>
  <si>
    <t>PATS-R</t>
  </si>
  <si>
    <t>1 (Resolved;pending removal)</t>
  </si>
  <si>
    <t>0 (resolved,2 pending removal)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</si>
</sst>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72"/>
      <color rgb="FF3F3F3F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charset val="1"/>
    </font>
  </fonts>
  <fills count="25">
    <fill>
      <patternFill patternType="none"/>
    </fill>
    <fill>
      <patternFill patternType="gray125"/>
    </fill>
    <fill>
      <patternFill patternType="solid">
        <fgColor rgb="FF002060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6337778862885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6337778862885"/>
        <bgColor indexed="65"/>
      </patternFill>
    </fill>
    <fill>
      <patternFill patternType="solid">
        <fgColor theme="0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7" tint="0.59996337778862885"/>
        <bgColor indexed="65"/>
      </patternFill>
    </fill>
    <fill>
      <patternFill patternType="solid">
        <fgColor theme="1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0" tint="-0.24994659260841701"/>
        <bgColor indexed="65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E7E6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ck">
        <color auto="1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</borders>
  <cellStyleXfs count="4">
    <xf numFmtId="0" fontId="0" fillId="0" borderId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309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3" borderId="0" xfId="0" applyFont="1" applyFill="1" applyAlignment="1">
      <alignment vertical="center"/>
    </xf>
    <xf numFmtId="1" fontId="1" fillId="0" borderId="0" xfId="0" applyNumberFormat="1" applyFont="1"/>
    <xf numFmtId="0" fontId="6" fillId="2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9" fontId="1" fillId="0" borderId="2" xfId="0" applyNumberFormat="1" applyFont="1" applyBorder="1" applyAlignment="1">
      <alignment horizontal="center" vertical="center"/>
    </xf>
    <xf numFmtId="9" fontId="1" fillId="0" borderId="3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9" fontId="1" fillId="0" borderId="10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165" fontId="1" fillId="0" borderId="10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" fontId="1" fillId="0" borderId="14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1" fontId="1" fillId="0" borderId="15" xfId="0" applyNumberFormat="1" applyFont="1" applyBorder="1" applyAlignment="1">
      <alignment horizontal="center" vertical="center"/>
    </xf>
    <xf numFmtId="1" fontId="1" fillId="0" borderId="16" xfId="0" applyNumberFormat="1" applyFont="1" applyBorder="1" applyAlignment="1">
      <alignment horizontal="center" vertical="center"/>
    </xf>
    <xf numFmtId="1" fontId="1" fillId="0" borderId="17" xfId="0" applyNumberFormat="1" applyFont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9" fontId="1" fillId="0" borderId="19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" fontId="1" fillId="0" borderId="20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9" fontId="1" fillId="0" borderId="24" xfId="0" applyNumberFormat="1" applyFont="1" applyBorder="1" applyAlignment="1">
      <alignment horizontal="center" vertical="center"/>
    </xf>
    <xf numFmtId="1" fontId="1" fillId="0" borderId="23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wrapText="1"/>
    </xf>
    <xf numFmtId="0" fontId="9" fillId="5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17" fontId="7" fillId="3" borderId="0" xfId="0" applyNumberFormat="1" applyFont="1" applyFill="1" applyAlignment="1">
      <alignment horizontal="center" vertical="center"/>
    </xf>
    <xf numFmtId="164" fontId="1" fillId="10" borderId="2" xfId="0" applyNumberFormat="1" applyFont="1" applyFill="1" applyBorder="1" applyAlignment="1">
      <alignment horizontal="center" vertical="center"/>
    </xf>
    <xf numFmtId="164" fontId="1" fillId="10" borderId="3" xfId="0" applyNumberFormat="1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164" fontId="1" fillId="10" borderId="2" xfId="0" applyNumberFormat="1" applyFont="1" applyFill="1" applyBorder="1" applyAlignment="1">
      <alignment horizontal="center"/>
    </xf>
    <xf numFmtId="164" fontId="1" fillId="10" borderId="3" xfId="0" applyNumberFormat="1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" fontId="1" fillId="10" borderId="3" xfId="0" applyNumberFormat="1" applyFont="1" applyFill="1" applyBorder="1" applyAlignment="1">
      <alignment horizontal="center" vertical="center"/>
    </xf>
    <xf numFmtId="1" fontId="1" fillId="10" borderId="7" xfId="0" applyNumberFormat="1" applyFont="1" applyFill="1" applyBorder="1" applyAlignment="1">
      <alignment horizontal="center" vertical="center"/>
    </xf>
    <xf numFmtId="1" fontId="1" fillId="10" borderId="8" xfId="0" applyNumberFormat="1" applyFont="1" applyFill="1" applyBorder="1" applyAlignment="1">
      <alignment horizontal="center" vertical="center"/>
    </xf>
    <xf numFmtId="17" fontId="7" fillId="2" borderId="0" xfId="0" applyNumberFormat="1" applyFont="1" applyFill="1" applyAlignment="1">
      <alignment horizontal="center" vertical="center"/>
    </xf>
    <xf numFmtId="164" fontId="1" fillId="10" borderId="16" xfId="0" applyNumberFormat="1" applyFont="1" applyFill="1" applyBorder="1" applyAlignment="1">
      <alignment horizontal="center" vertical="center"/>
    </xf>
    <xf numFmtId="164" fontId="1" fillId="10" borderId="28" xfId="0" applyNumberFormat="1" applyFont="1" applyFill="1" applyBorder="1" applyAlignment="1">
      <alignment horizontal="center" vertical="center"/>
    </xf>
    <xf numFmtId="0" fontId="1" fillId="10" borderId="29" xfId="0" applyFont="1" applyFill="1" applyBorder="1" applyAlignment="1">
      <alignment horizontal="center" vertical="center"/>
    </xf>
    <xf numFmtId="0" fontId="1" fillId="10" borderId="17" xfId="0" applyFont="1" applyFill="1" applyBorder="1" applyAlignment="1">
      <alignment horizontal="center" vertical="center"/>
    </xf>
    <xf numFmtId="164" fontId="1" fillId="10" borderId="16" xfId="0" applyNumberFormat="1" applyFont="1" applyFill="1" applyBorder="1" applyAlignment="1">
      <alignment horizontal="center"/>
    </xf>
    <xf numFmtId="164" fontId="1" fillId="10" borderId="28" xfId="0" applyNumberFormat="1" applyFont="1" applyFill="1" applyBorder="1" applyAlignment="1">
      <alignment horizontal="center"/>
    </xf>
    <xf numFmtId="0" fontId="1" fillId="10" borderId="29" xfId="0" applyFont="1" applyFill="1" applyBorder="1" applyAlignment="1">
      <alignment horizontal="center"/>
    </xf>
    <xf numFmtId="0" fontId="1" fillId="10" borderId="17" xfId="0" applyFon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1" fontId="1" fillId="10" borderId="28" xfId="0" applyNumberFormat="1" applyFont="1" applyFill="1" applyBorder="1" applyAlignment="1">
      <alignment horizontal="center" vertical="center"/>
    </xf>
    <xf numFmtId="1" fontId="1" fillId="10" borderId="33" xfId="0" applyNumberFormat="1" applyFont="1" applyFill="1" applyBorder="1" applyAlignment="1">
      <alignment horizontal="center" vertical="center"/>
    </xf>
    <xf numFmtId="1" fontId="1" fillId="10" borderId="32" xfId="0" applyNumberFormat="1" applyFont="1" applyFill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33" xfId="0" applyNumberFormat="1" applyFont="1" applyBorder="1" applyAlignment="1">
      <alignment horizontal="center" vertical="center"/>
    </xf>
    <xf numFmtId="164" fontId="1" fillId="10" borderId="18" xfId="0" applyNumberFormat="1" applyFont="1" applyFill="1" applyBorder="1" applyAlignment="1">
      <alignment horizontal="center" vertical="center"/>
    </xf>
    <xf numFmtId="164" fontId="1" fillId="10" borderId="19" xfId="0" applyNumberFormat="1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164" fontId="1" fillId="10" borderId="18" xfId="0" applyNumberFormat="1" applyFont="1" applyFill="1" applyBorder="1" applyAlignment="1">
      <alignment horizontal="center"/>
    </xf>
    <xf numFmtId="164" fontId="1" fillId="10" borderId="19" xfId="0" applyNumberFormat="1" applyFont="1" applyFill="1" applyBorder="1" applyAlignment="1">
      <alignment horizontal="center"/>
    </xf>
    <xf numFmtId="0" fontId="1" fillId="10" borderId="20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1" fillId="10" borderId="19" xfId="0" applyNumberFormat="1" applyFont="1" applyFill="1" applyBorder="1" applyAlignment="1">
      <alignment horizontal="center" vertical="center"/>
    </xf>
    <xf numFmtId="1" fontId="1" fillId="10" borderId="23" xfId="0" applyNumberFormat="1" applyFont="1" applyFill="1" applyBorder="1" applyAlignment="1">
      <alignment horizontal="center" vertical="center"/>
    </xf>
    <xf numFmtId="1" fontId="1" fillId="10" borderId="25" xfId="0" applyNumberFormat="1" applyFont="1" applyFill="1" applyBorder="1" applyAlignment="1">
      <alignment horizontal="center" vertical="center"/>
    </xf>
    <xf numFmtId="1" fontId="1" fillId="0" borderId="18" xfId="0" applyNumberFormat="1" applyFont="1" applyBorder="1" applyAlignment="1">
      <alignment horizontal="center" vertical="center"/>
    </xf>
    <xf numFmtId="1" fontId="1" fillId="0" borderId="22" xfId="0" applyNumberFormat="1" applyFont="1" applyBorder="1" applyAlignment="1">
      <alignment horizontal="center" vertical="center"/>
    </xf>
    <xf numFmtId="0" fontId="7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/>
    <xf numFmtId="0" fontId="1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" fillId="8" borderId="0" xfId="0" applyFont="1" applyFill="1"/>
    <xf numFmtId="0" fontId="1" fillId="9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12" fillId="3" borderId="0" xfId="0" applyFont="1" applyFill="1" applyAlignment="1">
      <alignment vertical="center"/>
    </xf>
    <xf numFmtId="0" fontId="7" fillId="11" borderId="0" xfId="0" applyFont="1" applyFill="1" applyAlignment="1">
      <alignment horizontal="center"/>
    </xf>
    <xf numFmtId="0" fontId="9" fillId="13" borderId="0" xfId="0" applyFont="1" applyFill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165" fontId="1" fillId="0" borderId="7" xfId="0" applyNumberFormat="1" applyFont="1" applyBorder="1" applyAlignment="1">
      <alignment horizontal="center" vertical="center"/>
    </xf>
    <xf numFmtId="0" fontId="1" fillId="12" borderId="0" xfId="0" applyFont="1" applyFill="1"/>
    <xf numFmtId="2" fontId="1" fillId="0" borderId="13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9" fontId="1" fillId="0" borderId="20" xfId="0" applyNumberFormat="1" applyFont="1" applyBorder="1" applyAlignment="1">
      <alignment horizontal="center" vertical="center"/>
    </xf>
    <xf numFmtId="9" fontId="1" fillId="0" borderId="22" xfId="0" applyNumberFormat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wrapText="1"/>
    </xf>
    <xf numFmtId="0" fontId="7" fillId="11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horizontal="center" wrapText="1"/>
    </xf>
    <xf numFmtId="164" fontId="1" fillId="0" borderId="3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7" fontId="7" fillId="11" borderId="0" xfId="0" applyNumberFormat="1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1" fillId="0" borderId="29" xfId="0" applyFont="1" applyBorder="1" applyAlignment="1">
      <alignment horizontal="center"/>
    </xf>
    <xf numFmtId="0" fontId="9" fillId="12" borderId="0" xfId="0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164" fontId="1" fillId="0" borderId="28" xfId="0" applyNumberFormat="1" applyFont="1" applyBorder="1" applyAlignment="1">
      <alignment horizontal="center"/>
    </xf>
    <xf numFmtId="0" fontId="7" fillId="11" borderId="0" xfId="0" applyFont="1" applyFill="1"/>
    <xf numFmtId="0" fontId="1" fillId="13" borderId="0" xfId="0" applyFont="1" applyFill="1"/>
    <xf numFmtId="1" fontId="1" fillId="0" borderId="29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14" borderId="38" xfId="0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center" vertical="center" wrapText="1"/>
    </xf>
    <xf numFmtId="9" fontId="1" fillId="0" borderId="29" xfId="0" applyNumberFormat="1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9" fontId="18" fillId="16" borderId="43" xfId="0" applyNumberFormat="1" applyFont="1" applyFill="1" applyBorder="1" applyAlignment="1">
      <alignment horizontal="center" vertical="center" wrapText="1"/>
    </xf>
    <xf numFmtId="0" fontId="18" fillId="17" borderId="43" xfId="0" applyFont="1" applyFill="1" applyBorder="1" applyAlignment="1">
      <alignment horizontal="center" vertical="center" wrapText="1"/>
    </xf>
    <xf numFmtId="9" fontId="7" fillId="3" borderId="0" xfId="0" applyNumberFormat="1" applyFont="1" applyFill="1" applyAlignment="1">
      <alignment horizontal="center" vertical="center" wrapText="1"/>
    </xf>
    <xf numFmtId="0" fontId="1" fillId="16" borderId="29" xfId="0" applyFont="1" applyFill="1" applyBorder="1" applyAlignment="1">
      <alignment horizontal="center"/>
    </xf>
    <xf numFmtId="9" fontId="1" fillId="16" borderId="29" xfId="0" applyNumberFormat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vertical="center" wrapText="1"/>
    </xf>
    <xf numFmtId="9" fontId="1" fillId="6" borderId="0" xfId="0" applyNumberFormat="1" applyFont="1" applyFill="1" applyAlignment="1">
      <alignment horizontal="center" vertical="center" wrapText="1"/>
    </xf>
    <xf numFmtId="9" fontId="1" fillId="0" borderId="29" xfId="0" applyNumberFormat="1" applyFont="1" applyBorder="1" applyAlignment="1">
      <alignment horizontal="center"/>
    </xf>
    <xf numFmtId="9" fontId="1" fillId="16" borderId="29" xfId="0" applyNumberFormat="1" applyFont="1" applyFill="1" applyBorder="1" applyAlignment="1">
      <alignment horizontal="center"/>
    </xf>
    <xf numFmtId="0" fontId="7" fillId="18" borderId="0" xfId="0" applyFont="1" applyFill="1" applyAlignment="1">
      <alignment horizontal="center" vertical="center" wrapText="1"/>
    </xf>
    <xf numFmtId="0" fontId="1" fillId="16" borderId="29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12" borderId="0" xfId="0" applyFont="1" applyFill="1" applyAlignment="1">
      <alignment horizontal="center" vertical="center" wrapText="1"/>
    </xf>
    <xf numFmtId="0" fontId="20" fillId="20" borderId="47" xfId="0" applyFont="1" applyFill="1" applyBorder="1" applyAlignment="1">
      <alignment horizontal="center" vertical="center" wrapText="1"/>
    </xf>
    <xf numFmtId="17" fontId="0" fillId="0" borderId="47" xfId="0" applyNumberFormat="1" applyBorder="1" applyAlignment="1">
      <alignment horizontal="center" vertical="center" wrapText="1"/>
    </xf>
    <xf numFmtId="0" fontId="0" fillId="21" borderId="47" xfId="0" applyFill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/>
    </xf>
    <xf numFmtId="164" fontId="1" fillId="0" borderId="8" xfId="0" applyNumberFormat="1" applyFont="1" applyBorder="1" applyAlignment="1">
      <alignment horizontal="center"/>
    </xf>
    <xf numFmtId="164" fontId="1" fillId="0" borderId="16" xfId="0" applyNumberFormat="1" applyFont="1" applyBorder="1" applyAlignment="1">
      <alignment horizontal="center"/>
    </xf>
    <xf numFmtId="164" fontId="1" fillId="0" borderId="32" xfId="0" applyNumberFormat="1" applyFont="1" applyBorder="1" applyAlignment="1">
      <alignment horizontal="center"/>
    </xf>
    <xf numFmtId="164" fontId="1" fillId="0" borderId="18" xfId="0" applyNumberFormat="1" applyFont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164" fontId="0" fillId="22" borderId="47" xfId="0" applyNumberFormat="1" applyFill="1" applyBorder="1" applyAlignment="1">
      <alignment horizontal="center" vertical="center" wrapText="1"/>
    </xf>
    <xf numFmtId="1" fontId="0" fillId="21" borderId="47" xfId="0" applyNumberFormat="1" applyFill="1" applyBorder="1" applyAlignment="1">
      <alignment horizontal="center" vertical="center" wrapText="1"/>
    </xf>
    <xf numFmtId="1" fontId="1" fillId="10" borderId="2" xfId="0" applyNumberFormat="1" applyFont="1" applyFill="1" applyBorder="1" applyAlignment="1">
      <alignment horizontal="center"/>
    </xf>
    <xf numFmtId="1" fontId="1" fillId="10" borderId="16" xfId="0" applyNumberFormat="1" applyFont="1" applyFill="1" applyBorder="1" applyAlignment="1">
      <alignment horizontal="center"/>
    </xf>
    <xf numFmtId="1" fontId="1" fillId="10" borderId="18" xfId="0" applyNumberFormat="1" applyFont="1" applyFill="1" applyBorder="1" applyAlignment="1">
      <alignment horizontal="center"/>
    </xf>
    <xf numFmtId="1" fontId="0" fillId="22" borderId="47" xfId="0" applyNumberFormat="1" applyFill="1" applyBorder="1" applyAlignment="1">
      <alignment horizontal="center" vertical="center" wrapText="1"/>
    </xf>
    <xf numFmtId="0" fontId="7" fillId="11" borderId="0" xfId="1"/>
    <xf numFmtId="0" fontId="7" fillId="11" borderId="0" xfId="1" applyAlignment="1"/>
    <xf numFmtId="0" fontId="7" fillId="18" borderId="47" xfId="2" applyBorder="1" applyAlignment="1">
      <alignment horizontal="center" vertical="center" wrapText="1"/>
    </xf>
    <xf numFmtId="1" fontId="0" fillId="21" borderId="47" xfId="0" applyNumberFormat="1" applyFill="1" applyBorder="1" applyAlignment="1" applyProtection="1">
      <alignment horizontal="center" vertical="center" wrapText="1"/>
      <protection locked="0"/>
    </xf>
    <xf numFmtId="0" fontId="0" fillId="21" borderId="47" xfId="0" applyFill="1" applyBorder="1" applyAlignment="1" applyProtection="1">
      <alignment horizontal="center" vertical="center" wrapText="1"/>
      <protection locked="0"/>
    </xf>
    <xf numFmtId="0" fontId="7" fillId="18" borderId="47" xfId="2" applyBorder="1" applyAlignment="1" applyProtection="1">
      <alignment horizontal="center" vertical="center" wrapText="1"/>
      <protection locked="0"/>
    </xf>
    <xf numFmtId="2" fontId="0" fillId="21" borderId="47" xfId="0" applyNumberFormat="1" applyFill="1" applyBorder="1" applyAlignment="1" applyProtection="1">
      <alignment horizontal="center" vertical="center" wrapText="1"/>
      <protection locked="0"/>
    </xf>
    <xf numFmtId="164" fontId="0" fillId="21" borderId="47" xfId="0" applyNumberFormat="1" applyFill="1" applyBorder="1" applyAlignment="1" applyProtection="1">
      <alignment horizontal="center" vertical="center" wrapText="1"/>
      <protection locked="0"/>
    </xf>
    <xf numFmtId="2" fontId="1" fillId="0" borderId="16" xfId="0" applyNumberFormat="1" applyFont="1" applyBorder="1" applyAlignment="1">
      <alignment horizontal="center" vertical="center"/>
    </xf>
    <xf numFmtId="165" fontId="1" fillId="0" borderId="50" xfId="0" applyNumberFormat="1" applyFont="1" applyBorder="1" applyAlignment="1">
      <alignment horizontal="center" vertical="center"/>
    </xf>
    <xf numFmtId="165" fontId="1" fillId="0" borderId="38" xfId="0" applyNumberFormat="1" applyFont="1" applyBorder="1" applyAlignment="1">
      <alignment horizontal="center" vertical="center"/>
    </xf>
    <xf numFmtId="9" fontId="1" fillId="0" borderId="51" xfId="0" applyNumberFormat="1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9" fontId="1" fillId="0" borderId="4" xfId="0" applyNumberFormat="1" applyFont="1" applyBorder="1" applyAlignment="1">
      <alignment horizontal="center" vertical="center"/>
    </xf>
    <xf numFmtId="9" fontId="1" fillId="0" borderId="16" xfId="0" applyNumberFormat="1" applyFont="1" applyBorder="1" applyAlignment="1">
      <alignment horizontal="center" vertical="center"/>
    </xf>
    <xf numFmtId="9" fontId="1" fillId="0" borderId="29" xfId="0" applyNumberFormat="1" applyFont="1" applyBorder="1" applyAlignment="1">
      <alignment horizontal="center" vertical="center"/>
    </xf>
    <xf numFmtId="2" fontId="1" fillId="0" borderId="29" xfId="0" applyNumberFormat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10" fontId="1" fillId="0" borderId="8" xfId="0" applyNumberFormat="1" applyFont="1" applyBorder="1" applyAlignment="1">
      <alignment horizontal="center" vertical="center"/>
    </xf>
    <xf numFmtId="1" fontId="1" fillId="0" borderId="31" xfId="0" applyNumberFormat="1" applyFont="1" applyBorder="1" applyAlignment="1">
      <alignment horizontal="center" vertical="center"/>
    </xf>
    <xf numFmtId="165" fontId="1" fillId="0" borderId="32" xfId="0" applyNumberFormat="1" applyFont="1" applyBorder="1" applyAlignment="1">
      <alignment horizontal="center" vertical="center"/>
    </xf>
    <xf numFmtId="9" fontId="1" fillId="0" borderId="25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9" fontId="1" fillId="10" borderId="4" xfId="0" applyNumberFormat="1" applyFont="1" applyFill="1" applyBorder="1" applyAlignment="1">
      <alignment horizontal="center"/>
    </xf>
    <xf numFmtId="9" fontId="1" fillId="10" borderId="29" xfId="0" applyNumberFormat="1" applyFont="1" applyFill="1" applyBorder="1" applyAlignment="1">
      <alignment horizontal="center"/>
    </xf>
    <xf numFmtId="9" fontId="1" fillId="10" borderId="20" xfId="0" applyNumberFormat="1" applyFont="1" applyFill="1" applyBorder="1" applyAlignment="1">
      <alignment horizontal="center"/>
    </xf>
    <xf numFmtId="9" fontId="1" fillId="0" borderId="4" xfId="0" applyNumberFormat="1" applyFont="1" applyBorder="1" applyAlignment="1">
      <alignment horizontal="center"/>
    </xf>
    <xf numFmtId="9" fontId="1" fillId="0" borderId="20" xfId="0" applyNumberFormat="1" applyFont="1" applyBorder="1" applyAlignment="1">
      <alignment horizontal="center"/>
    </xf>
    <xf numFmtId="164" fontId="1" fillId="23" borderId="28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33" xfId="0" applyBorder="1" applyAlignment="1">
      <alignment horizontal="center"/>
    </xf>
    <xf numFmtId="10" fontId="1" fillId="10" borderId="28" xfId="0" applyNumberFormat="1" applyFont="1" applyFill="1" applyBorder="1" applyAlignment="1">
      <alignment horizontal="center" vertical="center"/>
    </xf>
    <xf numFmtId="164" fontId="1" fillId="10" borderId="29" xfId="0" applyNumberFormat="1" applyFont="1" applyFill="1" applyBorder="1" applyAlignment="1">
      <alignment horizontal="center" vertical="center"/>
    </xf>
    <xf numFmtId="164" fontId="1" fillId="10" borderId="4" xfId="0" applyNumberFormat="1" applyFont="1" applyFill="1" applyBorder="1" applyAlignment="1">
      <alignment horizontal="center" vertical="center"/>
    </xf>
    <xf numFmtId="164" fontId="1" fillId="10" borderId="5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0" xfId="3"/>
    <xf numFmtId="0" fontId="23" fillId="24" borderId="29" xfId="0" applyFont="1" applyFill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3" fillId="24" borderId="29" xfId="0" applyFont="1" applyFill="1" applyBorder="1" applyAlignment="1">
      <alignment horizontal="center"/>
    </xf>
    <xf numFmtId="14" fontId="0" fillId="0" borderId="29" xfId="0" applyNumberFormat="1" applyBorder="1" applyAlignment="1">
      <alignment horizontal="left"/>
    </xf>
    <xf numFmtId="0" fontId="0" fillId="0" borderId="29" xfId="0" applyBorder="1" applyAlignment="1">
      <alignment horizontal="center"/>
    </xf>
    <xf numFmtId="14" fontId="0" fillId="0" borderId="29" xfId="0" applyNumberFormat="1" applyBorder="1" applyAlignment="1">
      <alignment horizontal="center"/>
    </xf>
    <xf numFmtId="0" fontId="12" fillId="3" borderId="1" xfId="0" applyFont="1" applyFill="1" applyBorder="1" applyAlignment="1">
      <alignment horizontal="center" vertical="center"/>
    </xf>
    <xf numFmtId="0" fontId="0" fillId="0" borderId="0" xfId="0"/>
    <xf numFmtId="0" fontId="0" fillId="0" borderId="1" xfId="0" applyBorder="1"/>
    <xf numFmtId="0" fontId="1" fillId="4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8" fillId="3" borderId="26" xfId="0" applyFont="1" applyFill="1" applyBorder="1" applyAlignment="1">
      <alignment horizontal="center" vertical="center" wrapText="1"/>
    </xf>
    <xf numFmtId="0" fontId="0" fillId="0" borderId="26" xfId="0" applyBorder="1"/>
    <xf numFmtId="0" fontId="1" fillId="4" borderId="0" xfId="0" applyFont="1" applyFill="1" applyAlignment="1">
      <alignment horizontal="center" wrapText="1"/>
    </xf>
    <xf numFmtId="0" fontId="1" fillId="4" borderId="26" xfId="0" applyFont="1" applyFill="1" applyBorder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6" fillId="11" borderId="0" xfId="1" applyFont="1" applyAlignment="1">
      <alignment horizontal="center" vertical="center"/>
    </xf>
    <xf numFmtId="0" fontId="1" fillId="4" borderId="26" xfId="0" applyFont="1" applyFill="1" applyBorder="1" applyAlignment="1">
      <alignment horizontal="center" wrapText="1"/>
    </xf>
    <xf numFmtId="0" fontId="14" fillId="5" borderId="1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7" fillId="7" borderId="26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" fontId="19" fillId="19" borderId="47" xfId="0" applyNumberFormat="1" applyFont="1" applyFill="1" applyBorder="1" applyAlignment="1">
      <alignment horizontal="left" vertical="center" wrapText="1"/>
    </xf>
    <xf numFmtId="0" fontId="0" fillId="0" borderId="48" xfId="0" applyBorder="1"/>
    <xf numFmtId="0" fontId="0" fillId="0" borderId="49" xfId="0" applyBorder="1"/>
    <xf numFmtId="0" fontId="19" fillId="19" borderId="47" xfId="0" applyFont="1" applyFill="1" applyBorder="1" applyAlignment="1">
      <alignment horizontal="left" vertical="center" wrapText="1"/>
    </xf>
    <xf numFmtId="0" fontId="19" fillId="19" borderId="0" xfId="0" applyFont="1" applyFill="1" applyAlignment="1">
      <alignment horizontal="left" vertical="center" wrapText="1"/>
    </xf>
    <xf numFmtId="0" fontId="21" fillId="19" borderId="0" xfId="0" applyFont="1" applyFill="1" applyAlignment="1">
      <alignment horizontal="left" vertical="center" wrapText="1"/>
    </xf>
    <xf numFmtId="0" fontId="7" fillId="11" borderId="0" xfId="0" applyFont="1" applyFill="1" applyAlignment="1">
      <alignment horizontal="center" vertical="center" wrapText="1"/>
    </xf>
    <xf numFmtId="9" fontId="1" fillId="6" borderId="0" xfId="0" applyNumberFormat="1" applyFont="1" applyFill="1" applyAlignment="1">
      <alignment horizontal="center" vertical="center" wrapText="1"/>
    </xf>
    <xf numFmtId="0" fontId="17" fillId="16" borderId="39" xfId="0" applyFont="1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4" xfId="0" applyBorder="1"/>
    <xf numFmtId="0" fontId="0" fillId="0" borderId="45" xfId="0" applyBorder="1"/>
    <xf numFmtId="0" fontId="1" fillId="0" borderId="0" xfId="0" applyFont="1" applyAlignment="1">
      <alignment horizontal="center" vertical="center" wrapText="1"/>
    </xf>
    <xf numFmtId="0" fontId="1" fillId="15" borderId="0" xfId="0" applyFont="1" applyFill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0" fontId="1" fillId="8" borderId="46" xfId="0" applyFont="1" applyFill="1" applyBorder="1" applyAlignment="1">
      <alignment horizontal="center" vertical="center" wrapText="1"/>
    </xf>
    <xf numFmtId="0" fontId="13" fillId="12" borderId="0" xfId="0" applyFont="1" applyFill="1" applyAlignment="1">
      <alignment horizontal="center" vertical="center"/>
    </xf>
    <xf numFmtId="0" fontId="7" fillId="11" borderId="10" xfId="0" applyFont="1" applyFill="1" applyBorder="1" applyAlignment="1">
      <alignment horizontal="center"/>
    </xf>
    <xf numFmtId="0" fontId="0" fillId="0" borderId="10" xfId="0" applyBorder="1"/>
    <xf numFmtId="1" fontId="1" fillId="0" borderId="29" xfId="0" applyNumberFormat="1" applyFont="1" applyBorder="1" applyAlignment="1">
      <alignment horizontal="center" vertical="center"/>
    </xf>
    <xf numFmtId="0" fontId="0" fillId="0" borderId="37" xfId="0" applyBorder="1"/>
    <xf numFmtId="0" fontId="7" fillId="11" borderId="35" xfId="0" applyFont="1" applyFill="1" applyBorder="1" applyAlignment="1">
      <alignment horizontal="center"/>
    </xf>
    <xf numFmtId="0" fontId="0" fillId="0" borderId="36" xfId="0" applyBorder="1"/>
    <xf numFmtId="0" fontId="1" fillId="13" borderId="0" xfId="0" applyFont="1" applyFill="1" applyAlignment="1">
      <alignment horizontal="center" vertical="center" wrapText="1"/>
    </xf>
  </cellXfs>
  <cellStyles count="4">
    <cellStyle name="Accent1" xfId="2" builtinId="29"/>
    <cellStyle name="Accent4" xfId="1" builtinId="41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CSSR-S &amp; CSRE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CSSR-S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'Dashboard-Ophthalmology'!$C$11:$C$22</c:f>
              <c:numCache>
                <c:formatCode>0.0%</c:formatCode>
                <c:ptCount val="12"/>
                <c:pt idx="0">
                  <c:v>0.69512195121951215</c:v>
                </c:pt>
                <c:pt idx="1">
                  <c:v>0.5957446808510638</c:v>
                </c:pt>
                <c:pt idx="2">
                  <c:v>0.61538461538461542</c:v>
                </c:pt>
                <c:pt idx="3">
                  <c:v>0.6506024096385542</c:v>
                </c:pt>
                <c:pt idx="4">
                  <c:v>0.72972972972972971</c:v>
                </c:pt>
                <c:pt idx="5">
                  <c:v>0.8666666666666667</c:v>
                </c:pt>
                <c:pt idx="6">
                  <c:v>0.9609375</c:v>
                </c:pt>
                <c:pt idx="7">
                  <c:v>0.9652173913043478</c:v>
                </c:pt>
                <c:pt idx="8">
                  <c:v>0.97169811320754718</c:v>
                </c:pt>
                <c:pt idx="9">
                  <c:v>0.95833333333333337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30-4B7D-8FF1-43F680C11010}"/>
            </c:ext>
          </c:extLst>
        </c:ser>
        <c:ser>
          <c:idx val="1"/>
          <c:order val="1"/>
          <c:tx>
            <c:v>CSRE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'Dashboard-Ophthalmology'!$D$11:$D$22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30-4B7D-8FF1-43F680C11010}"/>
            </c:ext>
          </c:extLst>
        </c:ser>
        <c:ser>
          <c:idx val="2"/>
          <c:order val="2"/>
          <c:tx>
            <c:v>GOAL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'Dashboard-Ophthalmology'!$A$75:$A$86</c:f>
              <c:numCache>
                <c:formatCode>0.00%</c:formatCode>
                <c:ptCount val="12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0-4B7D-8FF1-43F680C11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976656"/>
        <c:axId val="900978816"/>
      </c:lineChart>
      <c:catAx>
        <c:axId val="90097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978816"/>
        <c:crosses val="autoZero"/>
        <c:auto val="1"/>
        <c:lblAlgn val="ctr"/>
        <c:lblOffset val="100"/>
        <c:noMultiLvlLbl val="0"/>
      </c:catAx>
      <c:valAx>
        <c:axId val="90097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97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Clinic Cancelations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Number of Clinics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'Dashboard-Ophthalmology'!$E$11:$E$22</c:f>
              <c:numCache>
                <c:formatCode>General</c:formatCode>
                <c:ptCount val="12"/>
                <c:pt idx="0">
                  <c:v>8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8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9-488A-AC9E-9C2CC6E6B4B9}"/>
            </c:ext>
          </c:extLst>
        </c:ser>
        <c:ser>
          <c:idx val="1"/>
          <c:order val="1"/>
          <c:tx>
            <c:v>Number of Patients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'Dashboard-Ophthalmology'!$F$11:$F$22</c:f>
              <c:numCache>
                <c:formatCode>General</c:formatCode>
                <c:ptCount val="12"/>
                <c:pt idx="0">
                  <c:v>50</c:v>
                </c:pt>
                <c:pt idx="1">
                  <c:v>23</c:v>
                </c:pt>
                <c:pt idx="2">
                  <c:v>20</c:v>
                </c:pt>
                <c:pt idx="3">
                  <c:v>3</c:v>
                </c:pt>
                <c:pt idx="4">
                  <c:v>53</c:v>
                </c:pt>
                <c:pt idx="5">
                  <c:v>5</c:v>
                </c:pt>
                <c:pt idx="6">
                  <c:v>1</c:v>
                </c:pt>
                <c:pt idx="7">
                  <c:v>20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C9-488A-AC9E-9C2CC6E6B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1142808"/>
        <c:axId val="921145328"/>
      </c:barChart>
      <c:catAx>
        <c:axId val="921142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145328"/>
        <c:crosses val="autoZero"/>
        <c:auto val="1"/>
        <c:lblAlgn val="ctr"/>
        <c:lblOffset val="100"/>
        <c:noMultiLvlLbl val="0"/>
      </c:catAx>
      <c:valAx>
        <c:axId val="9211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14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Clinic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110820160998735E-2"/>
          <c:y val="0.23690909090909093"/>
          <c:w val="0.90388794893562097"/>
          <c:h val="0.33370937723693628"/>
        </c:manualLayout>
      </c:layout>
      <c:lineChart>
        <c:grouping val="standard"/>
        <c:varyColors val="0"/>
        <c:ser>
          <c:idx val="0"/>
          <c:order val="0"/>
          <c:tx>
            <c:v>% UTILIZATION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'Dashboard-Ophthalmology'!$H$11:$H$22</c:f>
              <c:numCache>
                <c:formatCode>0%</c:formatCode>
                <c:ptCount val="12"/>
                <c:pt idx="0">
                  <c:v>0.875</c:v>
                </c:pt>
                <c:pt idx="1">
                  <c:v>0.872</c:v>
                </c:pt>
                <c:pt idx="2">
                  <c:v>0.86299999999999999</c:v>
                </c:pt>
                <c:pt idx="3">
                  <c:v>0.86599999999999999</c:v>
                </c:pt>
                <c:pt idx="4">
                  <c:v>0.876</c:v>
                </c:pt>
                <c:pt idx="5">
                  <c:v>0.88900000000000001</c:v>
                </c:pt>
                <c:pt idx="6">
                  <c:v>0.92063492063492058</c:v>
                </c:pt>
                <c:pt idx="7">
                  <c:v>0.8902439024390244</c:v>
                </c:pt>
                <c:pt idx="8">
                  <c:v>0.878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0-43EF-BC92-04BD86D8703A}"/>
            </c:ext>
          </c:extLst>
        </c:ser>
        <c:ser>
          <c:idx val="1"/>
          <c:order val="1"/>
          <c:tx>
            <c:v>GOAL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'Dashboard-Ophthalmology'!$C$75:$C$86</c:f>
              <c:numCache>
                <c:formatCode>0.00%</c:formatCode>
                <c:ptCount val="12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0-43EF-BC92-04BD86D8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058880"/>
        <c:axId val="914059600"/>
      </c:lineChart>
      <c:catAx>
        <c:axId val="9140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59600"/>
        <c:crosses val="autoZero"/>
        <c:auto val="1"/>
        <c:lblAlgn val="ctr"/>
        <c:lblOffset val="100"/>
        <c:noMultiLvlLbl val="0"/>
      </c:catAx>
      <c:valAx>
        <c:axId val="91405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O.B. Slots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'Dashboard-Ophthalmology'!$I$11:$I$22</c:f>
              <c:numCache>
                <c:formatCode>General</c:formatCode>
                <c:ptCount val="12"/>
                <c:pt idx="0">
                  <c:v>389</c:v>
                </c:pt>
                <c:pt idx="1">
                  <c:v>300</c:v>
                </c:pt>
                <c:pt idx="2">
                  <c:v>351</c:v>
                </c:pt>
                <c:pt idx="3">
                  <c:v>366</c:v>
                </c:pt>
                <c:pt idx="4">
                  <c:v>331</c:v>
                </c:pt>
                <c:pt idx="5">
                  <c:v>433</c:v>
                </c:pt>
                <c:pt idx="6">
                  <c:v>437</c:v>
                </c:pt>
                <c:pt idx="7">
                  <c:v>419</c:v>
                </c:pt>
                <c:pt idx="8">
                  <c:v>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E-4C8C-9EA5-6B39EC882422}"/>
            </c:ext>
          </c:extLst>
        </c:ser>
        <c:ser>
          <c:idx val="1"/>
          <c:order val="1"/>
          <c:tx>
            <c:v>CONSULTS &gt; 30 DAYS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'Dashboard-Ophthalmology'!$J$11:$J$22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7E-4C8C-9EA5-6B39EC88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114624"/>
        <c:axId val="404974600"/>
      </c:barChart>
      <c:catAx>
        <c:axId val="91011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74600"/>
        <c:crosses val="autoZero"/>
        <c:auto val="1"/>
        <c:lblAlgn val="ctr"/>
        <c:lblOffset val="100"/>
        <c:noMultiLvlLbl val="0"/>
      </c:catAx>
      <c:valAx>
        <c:axId val="40497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11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Incomplete S.A.V.E. Training</a:t>
            </a:r>
          </a:p>
        </c:rich>
      </c:tx>
      <c:layout>
        <c:manualLayout>
          <c:xMode val="edge"/>
          <c:yMode val="edge"/>
          <c:x val="0.32987980086894275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'Dashboard-Ophthalmology'!$M$11:$M$22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0.98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F-4837-B475-D98734E03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504592"/>
        <c:axId val="405504952"/>
      </c:lineChart>
      <c:catAx>
        <c:axId val="40550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04952"/>
        <c:crosses val="autoZero"/>
        <c:auto val="1"/>
        <c:lblAlgn val="ctr"/>
        <c:lblOffset val="100"/>
        <c:noMultiLvlLbl val="0"/>
      </c:catAx>
      <c:valAx>
        <c:axId val="40550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0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UNSIGNED NOTES &gt; 7 DAYS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'Dashboard-Ophthalmology'!$N$11:$N$22</c:f>
              <c:numCache>
                <c:formatCode>General</c:formatCode>
                <c:ptCount val="12"/>
                <c:pt idx="0">
                  <c:v>15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4-452C-B1C7-A766FB7C5918}"/>
            </c:ext>
          </c:extLst>
        </c:ser>
        <c:ser>
          <c:idx val="1"/>
          <c:order val="1"/>
          <c:tx>
            <c:v>ENCOUNTERS &gt; 7 DAYS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'Dashboard-Ophthalmology'!$O$11:$O$22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C4-452C-B1C7-A766FB7C5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501048"/>
        <c:axId val="460502848"/>
      </c:lineChart>
      <c:catAx>
        <c:axId val="46050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2848"/>
        <c:crosses val="autoZero"/>
        <c:auto val="1"/>
        <c:lblAlgn val="ctr"/>
        <c:lblOffset val="100"/>
        <c:noMultiLvlLbl val="0"/>
      </c:catAx>
      <c:valAx>
        <c:axId val="46050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Surgical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SURGERIES #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'Dashboard-Ophthalmology'!$K$11:$K$22</c:f>
              <c:numCache>
                <c:formatCode>General</c:formatCode>
                <c:ptCount val="12"/>
                <c:pt idx="0">
                  <c:v>124</c:v>
                </c:pt>
                <c:pt idx="1">
                  <c:v>83</c:v>
                </c:pt>
                <c:pt idx="2">
                  <c:v>121</c:v>
                </c:pt>
                <c:pt idx="3">
                  <c:v>103</c:v>
                </c:pt>
                <c:pt idx="4">
                  <c:v>107</c:v>
                </c:pt>
                <c:pt idx="5">
                  <c:v>124</c:v>
                </c:pt>
                <c:pt idx="6">
                  <c:v>113</c:v>
                </c:pt>
                <c:pt idx="7">
                  <c:v>104</c:v>
                </c:pt>
                <c:pt idx="8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0-4495-A7F8-6F1B42AB7E8E}"/>
            </c:ext>
          </c:extLst>
        </c:ser>
        <c:ser>
          <c:idx val="1"/>
          <c:order val="1"/>
          <c:tx>
            <c:v>CATARACTS #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'Dashboard-Ophthalmology'!$L$11:$L$22</c:f>
              <c:numCache>
                <c:formatCode>General</c:formatCode>
                <c:ptCount val="12"/>
                <c:pt idx="0">
                  <c:v>9</c:v>
                </c:pt>
                <c:pt idx="1">
                  <c:v>8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7</c:v>
                </c:pt>
                <c:pt idx="7">
                  <c:v>4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0-4495-A7F8-6F1B42AB7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0918352"/>
        <c:axId val="460918712"/>
      </c:barChart>
      <c:catAx>
        <c:axId val="46091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18712"/>
        <c:crosses val="autoZero"/>
        <c:auto val="1"/>
        <c:lblAlgn val="ctr"/>
        <c:lblOffset val="100"/>
        <c:noMultiLvlLbl val="0"/>
      </c:catAx>
      <c:valAx>
        <c:axId val="46091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1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Overtime and Comp-Time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OVER TIME HOURS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'Dashboard-Ophthalmology'!$P$11:$P$22</c:f>
              <c:numCache>
                <c:formatCode>General</c:formatCode>
                <c:ptCount val="12"/>
                <c:pt idx="0">
                  <c:v>129.35</c:v>
                </c:pt>
                <c:pt idx="1">
                  <c:v>91.95</c:v>
                </c:pt>
                <c:pt idx="2">
                  <c:v>92</c:v>
                </c:pt>
                <c:pt idx="3">
                  <c:v>91.3</c:v>
                </c:pt>
                <c:pt idx="4">
                  <c:v>98.9</c:v>
                </c:pt>
                <c:pt idx="5">
                  <c:v>122.15</c:v>
                </c:pt>
                <c:pt idx="6">
                  <c:v>114.25</c:v>
                </c:pt>
                <c:pt idx="7">
                  <c:v>154.30000000000001</c:v>
                </c:pt>
                <c:pt idx="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14-4EDF-808E-E1ED885999EB}"/>
            </c:ext>
          </c:extLst>
        </c:ser>
        <c:ser>
          <c:idx val="1"/>
          <c:order val="1"/>
          <c:tx>
            <c:v>COMP-TIME HOURS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'Dashboard-Ophthalmology'!$Q$11:$Q$22</c:f>
              <c:numCache>
                <c:formatCode>General</c:formatCode>
                <c:ptCount val="12"/>
                <c:pt idx="0">
                  <c:v>2</c:v>
                </c:pt>
                <c:pt idx="1">
                  <c:v>0.75</c:v>
                </c:pt>
                <c:pt idx="2">
                  <c:v>11.55</c:v>
                </c:pt>
                <c:pt idx="3">
                  <c:v>6.45</c:v>
                </c:pt>
                <c:pt idx="4">
                  <c:v>2</c:v>
                </c:pt>
                <c:pt idx="5">
                  <c:v>0.5</c:v>
                </c:pt>
                <c:pt idx="6">
                  <c:v>5.5</c:v>
                </c:pt>
                <c:pt idx="7">
                  <c:v>0</c:v>
                </c:pt>
                <c:pt idx="8">
                  <c:v>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14-4EDF-808E-E1ED88599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4354168"/>
        <c:axId val="944354528"/>
      </c:lineChart>
      <c:catAx>
        <c:axId val="94435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354528"/>
        <c:crosses val="autoZero"/>
        <c:auto val="1"/>
        <c:lblAlgn val="ctr"/>
        <c:lblOffset val="100"/>
        <c:noMultiLvlLbl val="0"/>
      </c:catAx>
      <c:valAx>
        <c:axId val="94435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35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CSSR-S &amp; CSRE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CSSR-S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'Dashboard-Optometry'!$C$11:$C$22</c:f>
              <c:numCache>
                <c:formatCode>0.0%</c:formatCode>
                <c:ptCount val="12"/>
                <c:pt idx="0">
                  <c:v>0.45991561181434598</c:v>
                </c:pt>
                <c:pt idx="1">
                  <c:v>0.47282608695652173</c:v>
                </c:pt>
                <c:pt idx="2">
                  <c:v>0.4419642857142857</c:v>
                </c:pt>
                <c:pt idx="3">
                  <c:v>0.47668393782383417</c:v>
                </c:pt>
                <c:pt idx="4">
                  <c:v>0.54455445544554459</c:v>
                </c:pt>
                <c:pt idx="5">
                  <c:v>0.72340425531914898</c:v>
                </c:pt>
                <c:pt idx="6">
                  <c:v>0.95</c:v>
                </c:pt>
                <c:pt idx="7">
                  <c:v>0.95161290322580649</c:v>
                </c:pt>
                <c:pt idx="8">
                  <c:v>0.92300000000000004</c:v>
                </c:pt>
                <c:pt idx="9">
                  <c:v>0.93939393939393945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78-42BD-AD3E-9EDEA629B3BD}"/>
            </c:ext>
          </c:extLst>
        </c:ser>
        <c:ser>
          <c:idx val="0"/>
          <c:order val="1"/>
          <c:tx>
            <c:v>CSRE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'Dashboard-Optometry'!$D$11:$D$22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 formatCode="0.00%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78-42BD-AD3E-9EDEA629B3BD}"/>
            </c:ext>
          </c:extLst>
        </c:ser>
        <c:ser>
          <c:idx val="2"/>
          <c:order val="2"/>
          <c:tx>
            <c:v>GOAL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'Dashboard-Optometry'!$A$75:$A$86</c:f>
              <c:numCache>
                <c:formatCode>0.00%</c:formatCode>
                <c:ptCount val="12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78-42BD-AD3E-9EDEA629B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3156272"/>
        <c:axId val="613155192"/>
      </c:lineChart>
      <c:catAx>
        <c:axId val="61315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5192"/>
        <c:crosses val="autoZero"/>
        <c:auto val="1"/>
        <c:lblAlgn val="ctr"/>
        <c:lblOffset val="100"/>
        <c:noMultiLvlLbl val="0"/>
      </c:catAx>
      <c:valAx>
        <c:axId val="61315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Clinic Cancelations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Number of Clinics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'Dashboard-Optometry'!$E$11:$E$22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7-4A2E-90F9-23617066307C}"/>
            </c:ext>
          </c:extLst>
        </c:ser>
        <c:ser>
          <c:idx val="1"/>
          <c:order val="1"/>
          <c:tx>
            <c:v>Number of Patients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'Dashboard-Optometry'!$F$11:$F$22</c:f>
              <c:numCache>
                <c:formatCode>General</c:formatCode>
                <c:ptCount val="12"/>
                <c:pt idx="0">
                  <c:v>8</c:v>
                </c:pt>
                <c:pt idx="1">
                  <c:v>12</c:v>
                </c:pt>
                <c:pt idx="2">
                  <c:v>37</c:v>
                </c:pt>
                <c:pt idx="3">
                  <c:v>11</c:v>
                </c:pt>
                <c:pt idx="4">
                  <c:v>26</c:v>
                </c:pt>
                <c:pt idx="5">
                  <c:v>27</c:v>
                </c:pt>
                <c:pt idx="6">
                  <c:v>0</c:v>
                </c:pt>
                <c:pt idx="7">
                  <c:v>13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7-4A2E-90F9-236170663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6664040"/>
        <c:axId val="926660080"/>
      </c:barChart>
      <c:catAx>
        <c:axId val="92666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660080"/>
        <c:crosses val="autoZero"/>
        <c:auto val="1"/>
        <c:lblAlgn val="ctr"/>
        <c:lblOffset val="100"/>
        <c:noMultiLvlLbl val="0"/>
      </c:catAx>
      <c:valAx>
        <c:axId val="926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66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Complete S.A.V.E. Training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'Dashboard-Optometry'!$K$11:$K$22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9-4295-A32D-15F38B329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789000"/>
        <c:axId val="1033784320"/>
      </c:lineChart>
      <c:catAx>
        <c:axId val="103378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784320"/>
        <c:crosses val="autoZero"/>
        <c:auto val="1"/>
        <c:lblAlgn val="ctr"/>
        <c:lblOffset val="100"/>
        <c:noMultiLvlLbl val="0"/>
      </c:catAx>
      <c:valAx>
        <c:axId val="103378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78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Clinic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UTILIZATION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'Dashboard-Optometry'!$H$11:$H$22</c:f>
              <c:numCache>
                <c:formatCode>0%</c:formatCode>
                <c:ptCount val="12"/>
                <c:pt idx="0">
                  <c:v>0.89532019704433496</c:v>
                </c:pt>
                <c:pt idx="1">
                  <c:v>0.87339971550497864</c:v>
                </c:pt>
                <c:pt idx="2">
                  <c:v>0.84531059683313037</c:v>
                </c:pt>
                <c:pt idx="3">
                  <c:v>0.85155195681511475</c:v>
                </c:pt>
                <c:pt idx="4">
                  <c:v>0.82857142857142863</c:v>
                </c:pt>
                <c:pt idx="5">
                  <c:v>0.85064011379800852</c:v>
                </c:pt>
                <c:pt idx="6">
                  <c:v>0.753</c:v>
                </c:pt>
                <c:pt idx="7">
                  <c:v>0.75900000000000001</c:v>
                </c:pt>
                <c:pt idx="8">
                  <c:v>0.77300000000000002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5A-4645-A908-4FC237936AEE}"/>
            </c:ext>
          </c:extLst>
        </c:ser>
        <c:ser>
          <c:idx val="1"/>
          <c:order val="1"/>
          <c:tx>
            <c:v>GOAL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'Dashboard-Optometry'!$C$75:$C$86</c:f>
              <c:numCache>
                <c:formatCode>0.00%</c:formatCode>
                <c:ptCount val="12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5A-4645-A908-4FC237936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1989192"/>
        <c:axId val="1191981632"/>
      </c:lineChart>
      <c:catAx>
        <c:axId val="1191989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981632"/>
        <c:crosses val="autoZero"/>
        <c:auto val="1"/>
        <c:lblAlgn val="ctr"/>
        <c:lblOffset val="100"/>
        <c:noMultiLvlLbl val="0"/>
      </c:catAx>
      <c:valAx>
        <c:axId val="119198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98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O.B. Slots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'Dashboard-Optometry'!$I$11:$I$22</c:f>
              <c:numCache>
                <c:formatCode>General</c:formatCode>
                <c:ptCount val="12"/>
                <c:pt idx="0">
                  <c:v>57</c:v>
                </c:pt>
                <c:pt idx="1">
                  <c:v>50</c:v>
                </c:pt>
                <c:pt idx="2">
                  <c:v>47</c:v>
                </c:pt>
                <c:pt idx="3">
                  <c:v>48</c:v>
                </c:pt>
                <c:pt idx="4">
                  <c:v>56</c:v>
                </c:pt>
                <c:pt idx="5">
                  <c:v>151</c:v>
                </c:pt>
                <c:pt idx="6">
                  <c:v>115</c:v>
                </c:pt>
                <c:pt idx="7">
                  <c:v>103</c:v>
                </c:pt>
                <c:pt idx="8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2-49FA-AD3C-EF2B6415B3D5}"/>
            </c:ext>
          </c:extLst>
        </c:ser>
        <c:ser>
          <c:idx val="1"/>
          <c:order val="1"/>
          <c:tx>
            <c:v>Consults &gt; 30 Days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'Dashboard-Optometry'!$J$11:$J$22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72-49FA-AD3C-EF2B6415B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2014392"/>
        <c:axId val="1192015832"/>
      </c:barChart>
      <c:catAx>
        <c:axId val="119201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015832"/>
        <c:crosses val="autoZero"/>
        <c:auto val="1"/>
        <c:lblAlgn val="ctr"/>
        <c:lblOffset val="100"/>
        <c:noMultiLvlLbl val="0"/>
      </c:catAx>
      <c:valAx>
        <c:axId val="119201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01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'Dashboard-Optometry'!$L$11:$L$22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D-4858-BE81-50B470A3937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'Dashboard-Optometry'!$M$11:$M$22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</c:v>
                </c:pt>
                <c:pt idx="4">
                  <c:v>24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D-4858-BE81-50B470A39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349792"/>
        <c:axId val="1181347272"/>
      </c:lineChart>
      <c:catAx>
        <c:axId val="118134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47272"/>
        <c:crosses val="autoZero"/>
        <c:auto val="1"/>
        <c:lblAlgn val="ctr"/>
        <c:lblOffset val="100"/>
        <c:noMultiLvlLbl val="0"/>
      </c:catAx>
      <c:valAx>
        <c:axId val="118134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4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Overtime</a:t>
            </a:r>
            <a:r>
              <a:rPr lang="en-US" baseline="0"/>
              <a:t> &amp; Comp-Time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Overtime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'Dashboard-Optometry'!$N$11:$N$22</c:f>
              <c:numCache>
                <c:formatCode>General</c:formatCode>
                <c:ptCount val="12"/>
                <c:pt idx="0">
                  <c:v>4.25</c:v>
                </c:pt>
                <c:pt idx="1">
                  <c:v>9.25</c:v>
                </c:pt>
                <c:pt idx="2">
                  <c:v>5</c:v>
                </c:pt>
                <c:pt idx="3">
                  <c:v>4.5</c:v>
                </c:pt>
                <c:pt idx="4">
                  <c:v>4.25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  <c:pt idx="8">
                  <c:v>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C-4720-BFE3-AEEE786FF946}"/>
            </c:ext>
          </c:extLst>
        </c:ser>
        <c:ser>
          <c:idx val="1"/>
          <c:order val="1"/>
          <c:tx>
            <c:v>Comp-Time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'Dashboard-Optometry'!$O$11:$O$22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7C-4720-BFE3-AEEE786F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356272"/>
        <c:axId val="1181355552"/>
      </c:lineChart>
      <c:catAx>
        <c:axId val="118135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55552"/>
        <c:crosses val="autoZero"/>
        <c:auto val="1"/>
        <c:lblAlgn val="ctr"/>
        <c:lblOffset val="100"/>
        <c:noMultiLvlLbl val="0"/>
      </c:catAx>
      <c:valAx>
        <c:axId val="118135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5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Optical Exceptions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Employee Caused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'Dashboard-Optometry'!$S$11:$S$22</c:f>
              <c:numCache>
                <c:formatCode>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9</c:v>
                </c:pt>
                <c:pt idx="3">
                  <c:v>20</c:v>
                </c:pt>
                <c:pt idx="4">
                  <c:v>10</c:v>
                </c:pt>
                <c:pt idx="5">
                  <c:v>9</c:v>
                </c:pt>
                <c:pt idx="6">
                  <c:v>8</c:v>
                </c:pt>
                <c:pt idx="7">
                  <c:v>16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8-4009-BF0B-7B38C0854923}"/>
            </c:ext>
          </c:extLst>
        </c:ser>
        <c:ser>
          <c:idx val="1"/>
          <c:order val="1"/>
          <c:tx>
            <c:v>Non Employee Caused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'Dashboard-Optometry'!$T$11:$T$22</c:f>
              <c:numCache>
                <c:formatCode>0</c:formatCode>
                <c:ptCount val="12"/>
                <c:pt idx="0">
                  <c:v>6</c:v>
                </c:pt>
                <c:pt idx="1">
                  <c:v>2</c:v>
                </c:pt>
                <c:pt idx="2">
                  <c:v>9</c:v>
                </c:pt>
                <c:pt idx="3">
                  <c:v>17</c:v>
                </c:pt>
                <c:pt idx="4">
                  <c:v>3</c:v>
                </c:pt>
                <c:pt idx="5">
                  <c:v>2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8-4009-BF0B-7B38C0854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1360232"/>
        <c:axId val="1181360592"/>
      </c:barChart>
      <c:catAx>
        <c:axId val="118136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60592"/>
        <c:crosses val="autoZero"/>
        <c:auto val="1"/>
        <c:lblAlgn val="ctr"/>
        <c:lblOffset val="100"/>
        <c:noMultiLvlLbl val="0"/>
      </c:catAx>
      <c:valAx>
        <c:axId val="118136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6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Optical Walk-in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'Dashboard-Optometry'!$R$11:$R$22</c:f>
              <c:numCache>
                <c:formatCode>0.0%</c:formatCode>
                <c:ptCount val="12"/>
                <c:pt idx="0">
                  <c:v>0.30445468509984641</c:v>
                </c:pt>
                <c:pt idx="1">
                  <c:v>0.25268817204301075</c:v>
                </c:pt>
                <c:pt idx="2">
                  <c:v>0.26011730205278594</c:v>
                </c:pt>
                <c:pt idx="3">
                  <c:v>0.28687196110210694</c:v>
                </c:pt>
                <c:pt idx="4">
                  <c:v>0.4805491990846682</c:v>
                </c:pt>
                <c:pt idx="5">
                  <c:v>0.44230769230769229</c:v>
                </c:pt>
                <c:pt idx="6">
                  <c:v>0.40500000000000003</c:v>
                </c:pt>
                <c:pt idx="7">
                  <c:v>0.42499999999999999</c:v>
                </c:pt>
                <c:pt idx="8">
                  <c:v>0.38139741878059635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F-4F6F-9F88-6A902A679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1977312"/>
        <c:axId val="1191975872"/>
      </c:lineChart>
      <c:catAx>
        <c:axId val="11919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975872"/>
        <c:crosses val="autoZero"/>
        <c:auto val="1"/>
        <c:lblAlgn val="ctr"/>
        <c:lblOffset val="100"/>
        <c:noMultiLvlLbl val="0"/>
      </c:catAx>
      <c:valAx>
        <c:axId val="119197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97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0</xdr:rowOff>
    </xdr:from>
    <xdr:to>
      <xdr:col>8</xdr:col>
      <xdr:colOff>358588</xdr:colOff>
      <xdr:row>35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EC9DEDE-BE46-6C24-00A8-97699FAF4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358588</xdr:colOff>
      <xdr:row>24</xdr:row>
      <xdr:rowOff>0</xdr:rowOff>
    </xdr:from>
    <xdr:to>
      <xdr:col>16</xdr:col>
      <xdr:colOff>358588</xdr:colOff>
      <xdr:row>35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50B2DF-EAFD-1C24-7F38-A8B873FA0C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8</xdr:col>
      <xdr:colOff>358588</xdr:colOff>
      <xdr:row>46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A1FFE8-C2AC-7235-F500-756C9FD44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358588</xdr:colOff>
      <xdr:row>35</xdr:row>
      <xdr:rowOff>0</xdr:rowOff>
    </xdr:from>
    <xdr:to>
      <xdr:col>16</xdr:col>
      <xdr:colOff>358588</xdr:colOff>
      <xdr:row>46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5F28F1-B460-B62E-4F5D-42A17C0576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358588</xdr:colOff>
      <xdr:row>24</xdr:row>
      <xdr:rowOff>0</xdr:rowOff>
    </xdr:from>
    <xdr:to>
      <xdr:col>24</xdr:col>
      <xdr:colOff>717176</xdr:colOff>
      <xdr:row>35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242141-9EBB-D62B-B6E1-6331C056E4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358588</xdr:colOff>
      <xdr:row>35</xdr:row>
      <xdr:rowOff>0</xdr:rowOff>
    </xdr:from>
    <xdr:to>
      <xdr:col>24</xdr:col>
      <xdr:colOff>717176</xdr:colOff>
      <xdr:row>46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B76714-1797-F2CE-E886-A57CDFFDC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358588</xdr:colOff>
      <xdr:row>46</xdr:row>
      <xdr:rowOff>0</xdr:rowOff>
    </xdr:from>
    <xdr:to>
      <xdr:col>16</xdr:col>
      <xdr:colOff>358588</xdr:colOff>
      <xdr:row>57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3506D7C-9217-36D0-A217-6E483AC44F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8</xdr:col>
      <xdr:colOff>358588</xdr:colOff>
      <xdr:row>57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1ACEF5E-EAD5-78EB-197B-3EDCDCF3A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24</xdr:row>
      <xdr:rowOff>0</xdr:rowOff>
    </xdr:from>
    <xdr:to>
      <xdr:col>8</xdr:col>
      <xdr:colOff>1</xdr:colOff>
      <xdr:row>35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86D098-BFD3-9581-9702-E945CA994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16</xdr:col>
      <xdr:colOff>0</xdr:colOff>
      <xdr:row>35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96A758-EB97-EDE1-673C-DA2E01570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24</xdr:col>
      <xdr:colOff>0</xdr:colOff>
      <xdr:row>35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7D23D9D-3723-606C-44D7-558625EB6F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28C03D-CEE7-25EF-3350-4AA859D71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35</xdr:row>
      <xdr:rowOff>9525</xdr:rowOff>
    </xdr:from>
    <xdr:to>
      <xdr:col>16</xdr:col>
      <xdr:colOff>0</xdr:colOff>
      <xdr:row>47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ACE3EB-AC24-9E1A-DA7C-DA900923B4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35</xdr:row>
      <xdr:rowOff>0</xdr:rowOff>
    </xdr:from>
    <xdr:to>
      <xdr:col>24</xdr:col>
      <xdr:colOff>0</xdr:colOff>
      <xdr:row>47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B365B0-77A7-72F8-021B-76C08BFC6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8</xdr:col>
      <xdr:colOff>0</xdr:colOff>
      <xdr:row>59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BDEDDB-9D21-06D4-AF32-65A44A356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47</xdr:row>
      <xdr:rowOff>0</xdr:rowOff>
    </xdr:from>
    <xdr:to>
      <xdr:col>16</xdr:col>
      <xdr:colOff>0</xdr:colOff>
      <xdr:row>59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E447BC-16E9-0655-8FDE-D18576057B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47</xdr:row>
      <xdr:rowOff>0</xdr:rowOff>
    </xdr:from>
    <xdr:to>
      <xdr:col>24</xdr:col>
      <xdr:colOff>0</xdr:colOff>
      <xdr:row>59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9ED9ABC-7B87-08DE-AF45-90142290A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onafe, Jamie B." id="{FA6DA04B-4299-41AD-9ADE-AD1C370794C2}" userId="S::Jamie.Bonafe@va.gov::d6f74618-cb37-414a-a656-e3453c008cab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0" dT="2026-08-19T17:05:19.53" personId="{FA6DA04B-4299-41AD-9ADE-AD1C370794C2}" id="{A9135190-788C-46D2-A318-AE6463AD3DFB}">
    <text>Counted individually, did not use powerBI report</text>
  </threadedComment>
  <threadedComment ref="C34" dT="2026-08-19T17:05:42.63" personId="{FA6DA04B-4299-41AD-9ADE-AD1C370794C2}" id="{3BA81B82-164C-4BD1-BED7-95641D9E5DE8}">
    <text>Counted individually, did not use PowerBI report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Consult%20Tracking%20Manag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86"/>
  <sheetViews>
    <sheetView zoomScaleNormal="100" workbookViewId="0">
      <selection activeCell="N19" sqref="N19"/>
    </sheetView>
  </sheetViews>
  <sheetFormatPr defaultColWidth="10.7109375" defaultRowHeight="15" x14ac:dyDescent="0.25"/>
  <cols>
    <col min="26" max="26" width="10.28515625" customWidth="1"/>
    <col min="27" max="27" width="9.7109375" customWidth="1"/>
    <col min="28" max="28" width="20.140625" customWidth="1"/>
  </cols>
  <sheetData>
    <row r="1" spans="1:43" ht="15" customHeight="1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25">
      <c r="A2" s="20"/>
      <c r="B2" s="128"/>
      <c r="C2" s="252" t="s">
        <v>0</v>
      </c>
      <c r="D2" s="253"/>
      <c r="E2" s="253"/>
      <c r="F2" s="253"/>
      <c r="G2" s="266" t="s">
        <v>1</v>
      </c>
      <c r="H2" s="253"/>
      <c r="I2" s="253"/>
      <c r="J2" s="253"/>
      <c r="K2" s="253"/>
      <c r="L2" s="253"/>
      <c r="M2" s="269" t="s">
        <v>2</v>
      </c>
      <c r="N2" s="253"/>
      <c r="O2" s="253"/>
      <c r="P2" s="265" t="s">
        <v>3</v>
      </c>
      <c r="Q2" s="253"/>
      <c r="R2" s="267" t="s">
        <v>161</v>
      </c>
      <c r="S2" s="267"/>
      <c r="T2" s="267"/>
      <c r="U2" s="267"/>
      <c r="V2" s="267"/>
      <c r="W2" s="267"/>
      <c r="X2" s="267"/>
      <c r="Y2" s="20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thickTop="1" x14ac:dyDescent="0.25">
      <c r="A3" s="20"/>
      <c r="B3" s="128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67"/>
      <c r="S3" s="267"/>
      <c r="T3" s="267"/>
      <c r="U3" s="267"/>
      <c r="V3" s="267"/>
      <c r="W3" s="267"/>
      <c r="X3" s="267"/>
      <c r="Y3" s="20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thickBot="1" x14ac:dyDescent="0.3">
      <c r="A4" s="20"/>
      <c r="B4" s="128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67"/>
      <c r="S4" s="267"/>
      <c r="T4" s="267"/>
      <c r="U4" s="267"/>
      <c r="V4" s="267"/>
      <c r="W4" s="267"/>
      <c r="X4" s="267"/>
      <c r="Y4" s="20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thickTop="1" x14ac:dyDescent="0.25">
      <c r="A5" s="20"/>
      <c r="B5" s="6" t="s">
        <v>11</v>
      </c>
      <c r="C5" s="7">
        <f>AVERAGE(C11:C22)</f>
        <v>0.80094363913353706</v>
      </c>
      <c r="D5" s="220">
        <f t="shared" ref="D5:M5" si="0">AVERAGE(D11:D22)</f>
        <v>1</v>
      </c>
      <c r="E5" s="9">
        <f t="shared" si="0"/>
        <v>3.3333333333333335</v>
      </c>
      <c r="F5" s="13">
        <f t="shared" si="0"/>
        <v>20.111111111111111</v>
      </c>
      <c r="G5" s="11">
        <f>SUM(G11:G22)</f>
        <v>28918</v>
      </c>
      <c r="H5" s="133">
        <f t="shared" si="0"/>
        <v>0.88109764700821624</v>
      </c>
      <c r="I5" s="9">
        <f t="shared" si="0"/>
        <v>382.88888888888891</v>
      </c>
      <c r="J5" s="9">
        <f>SUM(J11:J22)</f>
        <v>15</v>
      </c>
      <c r="K5" s="9">
        <f>SUM(K11:K22)</f>
        <v>1000</v>
      </c>
      <c r="L5" s="13">
        <f>SUM(L11:L22)</f>
        <v>96</v>
      </c>
      <c r="M5" s="216">
        <f t="shared" si="0"/>
        <v>0.99777777777777787</v>
      </c>
      <c r="N5" s="11">
        <f>SUM(N11:N22)</f>
        <v>30</v>
      </c>
      <c r="O5" s="13">
        <f>SUM(O11:O22)</f>
        <v>11</v>
      </c>
      <c r="P5" s="11">
        <f>SUM(P11:P22)</f>
        <v>927.2</v>
      </c>
      <c r="Q5" s="13">
        <f>SUM(Q11:Q22)</f>
        <v>30</v>
      </c>
      <c r="R5" s="208"/>
      <c r="S5" s="208"/>
      <c r="T5" s="208"/>
      <c r="U5" s="207"/>
      <c r="V5" s="208"/>
      <c r="W5" s="207"/>
      <c r="X5" s="208"/>
      <c r="Y5" s="20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25">
      <c r="A6" s="20"/>
      <c r="B6" s="6" t="s">
        <v>13</v>
      </c>
      <c r="C6" s="221" t="s">
        <v>47</v>
      </c>
      <c r="D6" s="222" t="s">
        <v>47</v>
      </c>
      <c r="E6" s="223">
        <f>AVERAGEIF(E11:E22, "&lt;&gt;0")</f>
        <v>3.3333333333333335</v>
      </c>
      <c r="F6" s="224">
        <f>AVERAGEIF(F11:F22, "&lt;&gt;0")</f>
        <v>20.111111111111111</v>
      </c>
      <c r="G6" s="215">
        <f>AVERAGEIF(G11:G22, "&lt;&gt;0")</f>
        <v>3213.1111111111113</v>
      </c>
      <c r="H6" s="140" t="s">
        <v>47</v>
      </c>
      <c r="I6" s="223">
        <f>AVERAGEIF(I11:I22, "&lt;&gt;0")</f>
        <v>382.88888888888891</v>
      </c>
      <c r="J6" s="223">
        <f>AVERAGEIF(J11:J22, "&lt;&gt;0")</f>
        <v>2.1428571428571428</v>
      </c>
      <c r="K6" s="223">
        <f>AVERAGEIF(K11:K22, "&lt;&gt;0")</f>
        <v>111.11111111111111</v>
      </c>
      <c r="L6" s="224">
        <f>AVERAGEIF(L11:L22, "&lt;&gt;0")</f>
        <v>10.666666666666666</v>
      </c>
      <c r="M6" s="217" t="s">
        <v>47</v>
      </c>
      <c r="N6" s="229">
        <f>AVERAGEIF(N11:N22, "&lt;&gt;0")</f>
        <v>10</v>
      </c>
      <c r="O6" s="138">
        <f>AVERAGEIF(O11:O22, "&lt;&gt;0")</f>
        <v>5.5</v>
      </c>
      <c r="P6" s="229">
        <f>AVERAGEIF(P11:P22, "&lt;&gt;0")</f>
        <v>103.02222222222223</v>
      </c>
      <c r="Q6" s="138">
        <f>AVERAGEIF(Q11:Q22, "&lt;&gt;0")</f>
        <v>3.75</v>
      </c>
      <c r="R6" s="208"/>
      <c r="S6" s="208"/>
      <c r="T6" s="208"/>
      <c r="U6" s="207"/>
      <c r="V6" s="208"/>
      <c r="W6" s="207"/>
      <c r="X6" s="208"/>
      <c r="Y6" s="20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thickBot="1" x14ac:dyDescent="0.3">
      <c r="A7" s="20"/>
      <c r="B7" s="6" t="s">
        <v>14</v>
      </c>
      <c r="C7" s="39">
        <f>_Setup!$E$5</f>
        <v>0.9</v>
      </c>
      <c r="D7" s="143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218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4">
        <f>_Setup!$H$13</f>
        <v>0</v>
      </c>
      <c r="R7" s="208"/>
      <c r="S7" s="208"/>
      <c r="T7" s="207"/>
      <c r="U7" s="207"/>
      <c r="V7" s="207"/>
      <c r="W7" s="207"/>
      <c r="X7" s="207"/>
      <c r="Y7" s="20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thickTop="1" x14ac:dyDescent="0.25">
      <c r="A8" s="20"/>
      <c r="B8" s="51"/>
      <c r="C8" s="256" t="s">
        <v>15</v>
      </c>
      <c r="D8" s="258" t="s">
        <v>165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5" t="s">
        <v>21</v>
      </c>
      <c r="L8" s="255" t="s">
        <v>166</v>
      </c>
      <c r="M8" s="257" t="s">
        <v>23</v>
      </c>
      <c r="N8" s="263" t="s">
        <v>24</v>
      </c>
      <c r="O8" s="271" t="s">
        <v>25</v>
      </c>
      <c r="P8" s="264" t="s">
        <v>26</v>
      </c>
      <c r="Q8" s="270" t="s">
        <v>27</v>
      </c>
      <c r="R8" s="207"/>
      <c r="S8" s="207"/>
      <c r="T8" s="207"/>
      <c r="U8" s="207"/>
      <c r="V8" s="207"/>
      <c r="W8" s="208"/>
      <c r="X8" s="208"/>
      <c r="Y8" s="20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25">
      <c r="A9" s="20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07"/>
      <c r="S9" s="207"/>
      <c r="T9" s="207"/>
      <c r="U9" s="207"/>
      <c r="V9" s="207"/>
      <c r="W9" s="207"/>
      <c r="X9" s="207"/>
      <c r="Y9" s="20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thickBo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/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167</v>
      </c>
      <c r="N10" s="53" t="s">
        <v>40</v>
      </c>
      <c r="O10" s="54" t="s">
        <v>41</v>
      </c>
      <c r="P10" s="57" t="s">
        <v>42</v>
      </c>
      <c r="Q10" s="57" t="s">
        <v>42</v>
      </c>
      <c r="R10" s="207"/>
      <c r="S10" s="207"/>
      <c r="T10" s="207"/>
      <c r="U10" s="207"/>
      <c r="V10" s="207"/>
      <c r="W10" s="207"/>
      <c r="X10" s="207"/>
      <c r="Y10" s="20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thickTop="1" x14ac:dyDescent="0.25">
      <c r="A11" s="20"/>
      <c r="B11" s="62">
        <f>EDATE(DATE(_Setup!$B$4,10,1),ROW()-ROW($B$11))</f>
        <v>45931</v>
      </c>
      <c r="C11" s="63">
        <f>IF(_Ov_Ophthalmology!C11&lt;&gt;"",_Ov_Ophthalmology!C11,IFERROR(SUM(Portland!D11,Vancouver!D11,Salem!D11,Bend!D11)/SUM(Portland!C11,Vancouver!C11,Salem!C11,Bend!C11),""))</f>
        <v>0.69512195121951215</v>
      </c>
      <c r="D11" s="241">
        <v>1</v>
      </c>
      <c r="E11" s="65">
        <v>8</v>
      </c>
      <c r="F11" s="66">
        <v>50</v>
      </c>
      <c r="G11" s="203">
        <v>3562</v>
      </c>
      <c r="H11" s="234">
        <v>0.875</v>
      </c>
      <c r="I11" s="151">
        <v>389</v>
      </c>
      <c r="J11" s="151">
        <v>0</v>
      </c>
      <c r="K11" s="151">
        <v>124</v>
      </c>
      <c r="L11" s="73">
        <v>9</v>
      </c>
      <c r="M11" s="195">
        <v>1</v>
      </c>
      <c r="N11" s="71">
        <f>IF(_Ov_Ophthalmology!N11&lt;&gt;"",_Ov_Ophthalmology!N11,SUM(Portland!S11,Vancouver!S11,Salem!S11,Bend!S11,Nursing!H11,Supervisory!H11,Ophthalmology!H11))</f>
        <v>15</v>
      </c>
      <c r="O11" s="73">
        <f>IF(_Ov_Ophthalmology!O11&lt;&gt;"",_Ov_Ophthalmology!O11,SUM(Portland!T11,Vancouver!T11,Salem!T11,Bend!T11,Nursing!I11,Supervisory!I11,Ophthalmology!I11))</f>
        <v>0</v>
      </c>
      <c r="P11" s="71">
        <f>IF(_Ov_Ophthalmology!P11&lt;&gt;"",_Ov_Ophthalmology!P11,SUM(Portland!U11,Vancouver!U11,Salem!U11,Bend!U11,Nursing!J11,Supervisory!J11))</f>
        <v>129.35</v>
      </c>
      <c r="Q11" s="73">
        <f>IF(_Ov_Ophthalmology!Q11&lt;&gt;"",_Ov_Ophthalmology!Q11,SUM(Portland!V11,Vancouver!V11,Salem!V11,Bend!V11,Nursing!K11,Supervisory!K11))</f>
        <v>2</v>
      </c>
      <c r="R11" s="207"/>
      <c r="S11" s="207"/>
      <c r="T11" s="207"/>
      <c r="U11" s="207"/>
      <c r="V11" s="207"/>
      <c r="W11" s="207"/>
      <c r="X11" s="207"/>
      <c r="Y11" s="20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25">
      <c r="A12" s="20"/>
      <c r="B12" s="62">
        <f>EDATE(DATE(_Setup!$B$4,10,1),ROW()-ROW($B$11))</f>
        <v>45962</v>
      </c>
      <c r="C12" s="81">
        <f>IF(_Ov_Ophthalmology!C12&lt;&gt;"",_Ov_Ophthalmology!C12,IFERROR(SUM(Portland!D12,Vancouver!D12,Salem!D12,Bend!D12)/SUM(Portland!C12,Vancouver!C12,Salem!C12,Bend!C12),""))</f>
        <v>0.5957446808510638</v>
      </c>
      <c r="D12" s="240">
        <v>1</v>
      </c>
      <c r="E12" s="83">
        <v>5</v>
      </c>
      <c r="F12" s="84">
        <v>23</v>
      </c>
      <c r="G12" s="204">
        <v>2608</v>
      </c>
      <c r="H12" s="184">
        <v>0.872</v>
      </c>
      <c r="I12" s="154">
        <v>300</v>
      </c>
      <c r="J12" s="154">
        <v>1</v>
      </c>
      <c r="K12" s="154">
        <v>83</v>
      </c>
      <c r="L12" s="91">
        <v>8</v>
      </c>
      <c r="M12" s="197">
        <v>1</v>
      </c>
      <c r="N12" s="89">
        <f>IF(_Ov_Ophthalmology!N12&lt;&gt;"",_Ov_Ophthalmology!N12,SUM(Portland!S12,Vancouver!S12,Salem!S12,Bend!S12,Nursing!H12,Supervisory!H12,Ophthalmology!H12))</f>
        <v>0</v>
      </c>
      <c r="O12" s="91">
        <f>IF(_Ov_Ophthalmology!O12&lt;&gt;"",_Ov_Ophthalmology!O12,SUM(Portland!T12,Vancouver!T12,Salem!T12,Bend!T12,Nursing!I12,Supervisory!I12,Ophthalmology!I12))</f>
        <v>0</v>
      </c>
      <c r="P12" s="89">
        <f>IF(_Ov_Ophthalmology!P12&lt;&gt;"",_Ov_Ophthalmology!P12,SUM(Portland!U12,Vancouver!U12,Salem!U12,Bend!U12,Nursing!J12,Supervisory!J12))</f>
        <v>91.95</v>
      </c>
      <c r="Q12" s="91">
        <f>IF(_Ov_Ophthalmology!Q12&lt;&gt;"",_Ov_Ophthalmology!Q12,SUM(Portland!V12,Vancouver!V12,Salem!V12,Bend!V12,Nursing!K12,Supervisory!K12))</f>
        <v>0.75</v>
      </c>
      <c r="R12" s="207"/>
      <c r="S12" s="207"/>
      <c r="T12" s="207"/>
      <c r="U12" s="207"/>
      <c r="V12" s="207"/>
      <c r="W12" s="207"/>
      <c r="X12" s="207"/>
      <c r="Y12" s="20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25">
      <c r="A13" s="20"/>
      <c r="B13" s="62">
        <f>EDATE(DATE(_Setup!$B$4,10,1),ROW()-ROW($B$11))</f>
        <v>45992</v>
      </c>
      <c r="C13" s="81">
        <f>IF(_Ov_Ophthalmology!C13&lt;&gt;"",_Ov_Ophthalmology!C13,IFERROR(SUM(Portland!D13,Vancouver!D13,Salem!D13,Bend!D13)/SUM(Portland!C13,Vancouver!C13,Salem!C13,Bend!C13),""))</f>
        <v>0.61538461538461542</v>
      </c>
      <c r="D13" s="240">
        <v>1</v>
      </c>
      <c r="E13" s="83">
        <v>2</v>
      </c>
      <c r="F13" s="84">
        <v>20</v>
      </c>
      <c r="G13" s="204">
        <v>3020</v>
      </c>
      <c r="H13" s="184">
        <v>0.86299999999999999</v>
      </c>
      <c r="I13" s="154">
        <v>351</v>
      </c>
      <c r="J13" s="154">
        <v>3</v>
      </c>
      <c r="K13" s="154">
        <v>121</v>
      </c>
      <c r="L13" s="91">
        <v>11</v>
      </c>
      <c r="M13" s="197">
        <v>1</v>
      </c>
      <c r="N13" s="89">
        <f>IF(_Ov_Ophthalmology!N13&lt;&gt;"",_Ov_Ophthalmology!N13,SUM(Portland!S13,Vancouver!S13,Salem!S13,Bend!S13,Nursing!H13,Supervisory!H13,Ophthalmology!H13))</f>
        <v>0</v>
      </c>
      <c r="O13" s="91">
        <f>IF(_Ov_Ophthalmology!O13&lt;&gt;"",_Ov_Ophthalmology!O13,SUM(Portland!T13,Vancouver!T13,Salem!T13,Bend!T13,Nursing!I13,Supervisory!I13,Ophthalmology!I13))</f>
        <v>0</v>
      </c>
      <c r="P13" s="89">
        <f>IF(_Ov_Ophthalmology!P13&lt;&gt;"",_Ov_Ophthalmology!P13,SUM(Portland!U13,Vancouver!U13,Salem!U13,Bend!U13,Nursing!J13,Supervisory!J13))</f>
        <v>92</v>
      </c>
      <c r="Q13" s="91">
        <f>IF(_Ov_Ophthalmology!Q13&lt;&gt;"",_Ov_Ophthalmology!Q13,SUM(Portland!V13,Vancouver!V13,Salem!V13,Bend!V13,Nursing!K13,Supervisory!K13))</f>
        <v>11.55</v>
      </c>
      <c r="R13" s="207"/>
      <c r="S13" s="207"/>
      <c r="T13" s="207"/>
      <c r="U13" s="207"/>
      <c r="V13" s="207"/>
      <c r="W13" s="207"/>
      <c r="X13" s="207"/>
      <c r="Y13" s="20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25">
      <c r="A14" s="20"/>
      <c r="B14" s="62">
        <f>EDATE(DATE(_Setup!$B$4,10,1),ROW()-ROW($B$11))</f>
        <v>46023</v>
      </c>
      <c r="C14" s="81">
        <f>IF(_Ov_Ophthalmology!C14&lt;&gt;"",_Ov_Ophthalmology!C14,IFERROR(SUM(Portland!D14,Vancouver!D14,Salem!D14,Bend!D14)/SUM(Portland!C14,Vancouver!C14,Salem!C14,Bend!C14),""))</f>
        <v>0.6506024096385542</v>
      </c>
      <c r="D14" s="240">
        <v>1</v>
      </c>
      <c r="E14" s="83">
        <v>1</v>
      </c>
      <c r="F14" s="84">
        <v>3</v>
      </c>
      <c r="G14" s="204">
        <v>3280</v>
      </c>
      <c r="H14" s="184">
        <v>0.86599999999999999</v>
      </c>
      <c r="I14" s="154">
        <v>366</v>
      </c>
      <c r="J14" s="154">
        <v>2</v>
      </c>
      <c r="K14" s="154">
        <v>103</v>
      </c>
      <c r="L14" s="91">
        <v>15</v>
      </c>
      <c r="M14" s="197">
        <v>1</v>
      </c>
      <c r="N14" s="89">
        <f>IF(_Ov_Ophthalmology!N14&lt;&gt;"",_Ov_Ophthalmology!N14,SUM(Portland!S14,Vancouver!S14,Salem!S14,Bend!S14,Nursing!H14,Supervisory!H14,Ophthalmology!H14))</f>
        <v>7</v>
      </c>
      <c r="O14" s="91">
        <f>IF(_Ov_Ophthalmology!O14&lt;&gt;"",_Ov_Ophthalmology!O14,SUM(Portland!T14,Vancouver!T14,Salem!T14,Bend!T14,Nursing!I14,Supervisory!I14,Ophthalmology!I14))</f>
        <v>0</v>
      </c>
      <c r="P14" s="89">
        <f>IF(_Ov_Ophthalmology!P14&lt;&gt;"",_Ov_Ophthalmology!P14,SUM(Portland!U14,Vancouver!U14,Salem!U14,Bend!U14,Nursing!J14,Supervisory!J14))</f>
        <v>91.3</v>
      </c>
      <c r="Q14" s="91">
        <f>IF(_Ov_Ophthalmology!Q14&lt;&gt;"",_Ov_Ophthalmology!Q14,SUM(Portland!V14,Vancouver!V14,Salem!V14,Bend!V14,Nursing!K14,Supervisory!K14))</f>
        <v>6.45</v>
      </c>
      <c r="R14" s="207"/>
      <c r="S14" s="207"/>
      <c r="T14" s="207"/>
      <c r="U14" s="207"/>
      <c r="V14" s="207"/>
      <c r="W14" s="207"/>
      <c r="X14" s="207"/>
      <c r="Y14" s="20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25">
      <c r="A15" s="20"/>
      <c r="B15" s="62">
        <f>EDATE(DATE(_Setup!$B$4,10,1),ROW()-ROW($B$11))</f>
        <v>46054</v>
      </c>
      <c r="C15" s="81">
        <f>IF(_Ov_Ophthalmology!C15&lt;&gt;"",_Ov_Ophthalmology!C15,IFERROR(SUM(Portland!D15,Vancouver!D15,Salem!D15,Bend!D15)/SUM(Portland!C15,Vancouver!C15,Salem!C15,Bend!C15),""))</f>
        <v>0.72972972972972971</v>
      </c>
      <c r="D15" s="240">
        <f>IF(_Ov_Ophthalmology!D15&lt;&gt;"",_Ov_Ophthalmology!D15,IFERROR(SUM(Portland!G15,Vancouver!G15,Salem!G15,Bend!G15)/SUM(Portland!F15,Vancouver!F15,Salem!F15,Bend!F15),""))</f>
        <v>1</v>
      </c>
      <c r="E15" s="83">
        <v>8</v>
      </c>
      <c r="F15" s="84">
        <v>53</v>
      </c>
      <c r="G15" s="204">
        <v>3530</v>
      </c>
      <c r="H15" s="184">
        <v>0.876</v>
      </c>
      <c r="I15" s="154">
        <v>331</v>
      </c>
      <c r="J15" s="154">
        <v>0</v>
      </c>
      <c r="K15" s="154">
        <v>107</v>
      </c>
      <c r="L15" s="91">
        <v>15</v>
      </c>
      <c r="M15" s="197">
        <v>0.98</v>
      </c>
      <c r="N15" s="89">
        <f>IF(_Ov_Ophthalmology!N15&lt;&gt;"",_Ov_Ophthalmology!N15,SUM(Portland!S15,Vancouver!S15,Salem!S15,Bend!S15,Nursing!H15,Supervisory!H15,Ophthalmology!H15))</f>
        <v>8</v>
      </c>
      <c r="O15" s="91">
        <f>IF(_Ov_Ophthalmology!O15&lt;&gt;"",_Ov_Ophthalmology!O15,SUM(Portland!T15,Vancouver!T15,Salem!T15,Bend!T15,Nursing!I15,Supervisory!I15,Ophthalmology!I15))</f>
        <v>0</v>
      </c>
      <c r="P15" s="89">
        <f>IF(_Ov_Ophthalmology!P15&lt;&gt;"",_Ov_Ophthalmology!P15,SUM(Portland!U15,Vancouver!U15,Salem!U15,Bend!U15,Nursing!J15,Supervisory!J15))</f>
        <v>98.9</v>
      </c>
      <c r="Q15" s="91">
        <f>IF(_Ov_Ophthalmology!Q15&lt;&gt;"",_Ov_Ophthalmology!Q15,SUM(Portland!V15,Vancouver!V15,Salem!V15,Bend!V15,Nursing!K15,Supervisory!K15))</f>
        <v>2</v>
      </c>
      <c r="R15" s="207"/>
      <c r="S15" s="207"/>
      <c r="T15" s="207"/>
      <c r="U15" s="207"/>
      <c r="V15" s="207"/>
      <c r="W15" s="207"/>
      <c r="X15" s="207"/>
      <c r="Y15" s="20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25">
      <c r="A16" s="20"/>
      <c r="B16" s="62">
        <f>EDATE(DATE(_Setup!$B$4,10,1),ROW()-ROW($B$11))</f>
        <v>46082</v>
      </c>
      <c r="C16" s="81">
        <f>IF(_Ov_Ophthalmology!C16&lt;&gt;"",_Ov_Ophthalmology!C16,IFERROR(SUM(Portland!D16,Vancouver!D16,Salem!D16,Bend!D16)/SUM(Portland!C16,Vancouver!C16,Salem!C16,Bend!C16),""))</f>
        <v>0.8666666666666667</v>
      </c>
      <c r="D16" s="240">
        <v>1</v>
      </c>
      <c r="E16" s="83">
        <v>1</v>
      </c>
      <c r="F16" s="84">
        <v>5</v>
      </c>
      <c r="G16" s="204">
        <v>2431</v>
      </c>
      <c r="H16" s="184">
        <v>0.88900000000000001</v>
      </c>
      <c r="I16" s="154">
        <v>433</v>
      </c>
      <c r="J16" s="154">
        <v>5</v>
      </c>
      <c r="K16" s="154">
        <v>124</v>
      </c>
      <c r="L16" s="91">
        <v>15</v>
      </c>
      <c r="M16" s="197">
        <v>1</v>
      </c>
      <c r="N16" s="89">
        <f>IF(_Ov_Ophthalmology!N16&lt;&gt;"",_Ov_Ophthalmology!N16,SUM(Portland!S16,Vancouver!S16,Salem!S16,Bend!S16,Nursing!H16,Supervisory!H16,Ophthalmology!H16))</f>
        <v>0</v>
      </c>
      <c r="O16" s="91">
        <f>IF(_Ov_Ophthalmology!O16&lt;&gt;"",_Ov_Ophthalmology!O16,SUM(Portland!T16,Vancouver!T16,Salem!T16,Bend!T16,Nursing!I16,Supervisory!I16,Ophthalmology!I16))</f>
        <v>6</v>
      </c>
      <c r="P16" s="89">
        <f>IF(_Ov_Ophthalmology!P16&lt;&gt;"",_Ov_Ophthalmology!P16,SUM(Portland!U16,Vancouver!U16,Salem!U16,Bend!U16,Nursing!J16,Supervisory!J16))</f>
        <v>122.15</v>
      </c>
      <c r="Q16" s="91">
        <f>IF(_Ov_Ophthalmology!Q16&lt;&gt;"",_Ov_Ophthalmology!Q16,SUM(Portland!V16,Vancouver!V16,Salem!V16,Bend!V16,Nursing!K16,Supervisory!K16))</f>
        <v>0.5</v>
      </c>
      <c r="R16" s="207"/>
      <c r="S16" s="207"/>
      <c r="T16" s="207"/>
      <c r="U16" s="207"/>
      <c r="V16" s="207"/>
      <c r="W16" s="207"/>
      <c r="X16" s="207"/>
      <c r="Y16" s="20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25">
      <c r="A17" s="20"/>
      <c r="B17" s="62">
        <f>EDATE(DATE(_Setup!$B$4,10,1),ROW()-ROW($B$11))</f>
        <v>46113</v>
      </c>
      <c r="C17" s="81">
        <f>IF(_Ov_Ophthalmology!C17&lt;&gt;"",_Ov_Ophthalmology!C17,IFERROR(SUM(Portland!D17,Vancouver!D17,Salem!D17,Bend!D17)/SUM(Portland!C17,Vancouver!C17,Salem!C17,Bend!C17),""))</f>
        <v>0.9609375</v>
      </c>
      <c r="D17" s="240">
        <v>1</v>
      </c>
      <c r="E17" s="83">
        <v>1</v>
      </c>
      <c r="F17" s="84">
        <v>1</v>
      </c>
      <c r="G17" s="204">
        <v>3662</v>
      </c>
      <c r="H17" s="184">
        <f>IF(_Ov_Ophthalmology!H17&lt;&gt;"",_Ov_Ophthalmology!H17,IFERROR(SUM(Portland!L17,Vancouver!L17,Salem!L17,Bend!L17)/SUM(Portland!K17,Vancouver!K17,Salem!K17,Bend!K17),""))</f>
        <v>0.92063492063492058</v>
      </c>
      <c r="I17" s="154">
        <v>437</v>
      </c>
      <c r="J17" s="154">
        <v>2</v>
      </c>
      <c r="K17" s="154">
        <v>113</v>
      </c>
      <c r="L17" s="91">
        <v>7</v>
      </c>
      <c r="M17" s="197">
        <v>1</v>
      </c>
      <c r="N17" s="89">
        <f>IF(_Ov_Ophthalmology!N17&lt;&gt;"",_Ov_Ophthalmology!N17,SUM(Portland!S17,Vancouver!S17,Salem!S17,Bend!S17,Nursing!H17,Supervisory!H17,Ophthalmology!H17))</f>
        <v>0</v>
      </c>
      <c r="O17" s="91">
        <f>IF(_Ov_Ophthalmology!O17&lt;&gt;"",_Ov_Ophthalmology!O17,SUM(Portland!T17,Vancouver!T17,Salem!T17,Bend!T17,Nursing!I17,Supervisory!I17,Ophthalmology!I17))</f>
        <v>5</v>
      </c>
      <c r="P17" s="89">
        <f>IF(_Ov_Ophthalmology!P17&lt;&gt;"",_Ov_Ophthalmology!P17,SUM(Portland!U17,Vancouver!U17,Salem!U17,Bend!U17,Nursing!J17,Supervisory!J17))</f>
        <v>114.25</v>
      </c>
      <c r="Q17" s="91">
        <f>IF(_Ov_Ophthalmology!Q17&lt;&gt;"",_Ov_Ophthalmology!Q17,SUM(Portland!V17,Vancouver!V17,Salem!V17,Bend!V17,Nursing!K17,Supervisory!K17))</f>
        <v>5.5</v>
      </c>
      <c r="R17" s="207"/>
      <c r="S17" s="207"/>
      <c r="T17" s="207"/>
      <c r="U17" s="207"/>
      <c r="V17" s="207"/>
      <c r="W17" s="207"/>
      <c r="X17" s="207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25">
      <c r="A18" s="20"/>
      <c r="B18" s="62">
        <f>EDATE(DATE(_Setup!$B$4,10,1),ROW()-ROW($B$11))</f>
        <v>46143</v>
      </c>
      <c r="C18" s="81">
        <f>IF(_Ov_Ophthalmology!C18&lt;&gt;"",_Ov_Ophthalmology!C18,IFERROR(SUM(Portland!D18,Vancouver!D18,Salem!D18,Bend!D18)/SUM(Portland!C18,Vancouver!C18,Salem!C18,Bend!C18),""))</f>
        <v>0.9652173913043478</v>
      </c>
      <c r="D18" s="240">
        <v>1</v>
      </c>
      <c r="E18" s="83">
        <v>3</v>
      </c>
      <c r="F18" s="84">
        <v>20</v>
      </c>
      <c r="G18" s="204">
        <v>3297</v>
      </c>
      <c r="H18" s="184">
        <f>IF(_Ov_Ophthalmology!H18&lt;&gt;"",_Ov_Ophthalmology!H18,IFERROR(SUM(Portland!L18,Vancouver!L18,Salem!L18,Bend!L18)/SUM(Portland!K18,Vancouver!K18,Salem!K18,Bend!K18),""))</f>
        <v>0.8902439024390244</v>
      </c>
      <c r="I18" s="154">
        <v>419</v>
      </c>
      <c r="J18" s="154">
        <v>1</v>
      </c>
      <c r="K18" s="154">
        <v>104</v>
      </c>
      <c r="L18" s="91">
        <v>4</v>
      </c>
      <c r="M18" s="197">
        <v>1</v>
      </c>
      <c r="N18" s="89">
        <v>0</v>
      </c>
      <c r="O18" s="91">
        <v>0</v>
      </c>
      <c r="P18" s="89">
        <f>IF(_Ov_Ophthalmology!P18&lt;&gt;"",_Ov_Ophthalmology!P18,SUM(Portland!U18,Vancouver!U18,Salem!U18,Bend!U18,Nursing!J18,Supervisory!J18))</f>
        <v>154.30000000000001</v>
      </c>
      <c r="Q18" s="91">
        <f>IF(_Ov_Ophthalmology!Q18&lt;&gt;"",_Ov_Ophthalmology!Q18,SUM(Portland!V18,Vancouver!V18,Salem!V18,Bend!V18,Nursing!K18,Supervisory!K18))</f>
        <v>0</v>
      </c>
      <c r="R18" s="207"/>
      <c r="S18" s="207"/>
      <c r="T18" s="207"/>
      <c r="U18" s="207"/>
      <c r="V18" s="207"/>
      <c r="W18" s="207"/>
      <c r="X18" s="207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25">
      <c r="A19" s="20"/>
      <c r="B19" s="62">
        <f>EDATE(DATE(_Setup!$B$4,10,1),ROW()-ROW($B$11))</f>
        <v>46174</v>
      </c>
      <c r="C19" s="81">
        <f>IF(_Ov_Ophthalmology!C19&lt;&gt;"",_Ov_Ophthalmology!C19,IFERROR(SUM(Portland!D19,Vancouver!D19,Salem!D19,Bend!D19)/SUM(Portland!C19,Vancouver!C19,Salem!C19,Bend!C19),""))</f>
        <v>0.97169811320754718</v>
      </c>
      <c r="D19" s="82">
        <f>IF(_Ov_Ophthalmology!D19&lt;&gt;"",_Ov_Ophthalmology!D19,IFERROR(SUM(Portland!G19,Vancouver!G19,Salem!G19,Bend!G19)/SUM(Portland!F19,Vancouver!F19,Salem!F19,Bend!F19),""))</f>
        <v>1</v>
      </c>
      <c r="E19" s="83">
        <v>1</v>
      </c>
      <c r="F19" s="84">
        <v>6</v>
      </c>
      <c r="G19" s="204">
        <v>3528</v>
      </c>
      <c r="H19" s="184">
        <v>0.878</v>
      </c>
      <c r="I19" s="154">
        <v>420</v>
      </c>
      <c r="J19" s="154">
        <v>1</v>
      </c>
      <c r="K19" s="154">
        <v>121</v>
      </c>
      <c r="L19" s="91">
        <v>12</v>
      </c>
      <c r="M19" s="197">
        <v>1</v>
      </c>
      <c r="N19" s="89">
        <f>IF(_Ov_Ophthalmology!N19&lt;&gt;"",_Ov_Ophthalmology!N19,SUM(Portland!S19,Vancouver!S19,Salem!S19,Bend!S19,Nursing!H19,Supervisory!H19,Ophthalmology!H19))</f>
        <v>0</v>
      </c>
      <c r="O19" s="91">
        <f>IF(_Ov_Ophthalmology!O19&lt;&gt;"",_Ov_Ophthalmology!O19,SUM(Portland!T19,Vancouver!T19,Salem!T19,Bend!T19,Nursing!I19,Supervisory!I19,Ophthalmology!I19))</f>
        <v>0</v>
      </c>
      <c r="P19" s="89">
        <f>IF(_Ov_Ophthalmology!P19&lt;&gt;"",_Ov_Ophthalmology!P19,SUM(Portland!U19,Vancouver!U19,Salem!U19,Bend!U19,Nursing!J19,Supervisory!J19))</f>
        <v>33</v>
      </c>
      <c r="Q19" s="91">
        <f>IF(_Ov_Ophthalmology!Q19&lt;&gt;"",_Ov_Ophthalmology!Q19,SUM(Portland!V19,Vancouver!V19,Salem!V19,Bend!V19,Nursing!K19,Supervisory!K19))</f>
        <v>1.25</v>
      </c>
      <c r="R19" s="207"/>
      <c r="S19" s="207"/>
      <c r="T19" s="207"/>
      <c r="U19" s="207"/>
      <c r="V19" s="207"/>
      <c r="W19" s="207"/>
      <c r="X19" s="207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25">
      <c r="A20" s="20"/>
      <c r="B20" s="62">
        <f>EDATE(DATE(_Setup!$B$4,10,1),ROW()-ROW($B$11))</f>
        <v>46204</v>
      </c>
      <c r="C20" s="81">
        <f>IF(_Ov_Ophthalmology!C20&lt;&gt;"",_Ov_Ophthalmology!C20,IFERROR(SUM(Portland!D20,Vancouver!D20,Salem!D20,Bend!D20)/SUM(Portland!C20,Vancouver!C20,Salem!C20,Bend!C20),""))</f>
        <v>0.95833333333333337</v>
      </c>
      <c r="D20" s="82">
        <f>IF(_Ov_Ophthalmology!D20&lt;&gt;"",_Ov_Ophthalmology!D20,IFERROR(SUM(Portland!G20,Vancouver!G20,Salem!G20,Bend!G20)/SUM(Portland!F20,Vancouver!F20,Salem!F20,Bend!F20),""))</f>
        <v>1</v>
      </c>
      <c r="E20" s="83"/>
      <c r="F20" s="84"/>
      <c r="G20" s="204"/>
      <c r="H20" s="184" t="str">
        <f>IF(_Ov_Ophthalmology!H20&lt;&gt;"",_Ov_Ophthalmology!H20,IFERROR(SUM(Portland!L20,Vancouver!L20,Salem!L20,Bend!L20)/SUM(Portland!K20,Vancouver!K20,Salem!K20,Bend!K20),""))</f>
        <v/>
      </c>
      <c r="I20" s="154"/>
      <c r="J20" s="154"/>
      <c r="K20" s="154"/>
      <c r="L20" s="91"/>
      <c r="M20" s="197" t="str">
        <f>IF(_Ov_Ophthalmology!M20&lt;&gt;"",_Ov_Ophthalmology!M20,IFERROR(SUM(Portland!Q20,Vancouver!Q20,Salem!Q20,Bend!Q20,Nursing!F20,Supervisory!F20,Ophthalmology!F20)/SUM(Portland!P20,Vancouver!P20,Salem!P20,Bend!P20,Nursing!E20,Supervisory!E20,Ophthalmology!E20),""))</f>
        <v/>
      </c>
      <c r="N20" s="89"/>
      <c r="O20" s="91"/>
      <c r="P20" s="89"/>
      <c r="Q20" s="91"/>
      <c r="R20" s="207"/>
      <c r="S20" s="207"/>
      <c r="T20" s="207"/>
      <c r="U20" s="207"/>
      <c r="V20" s="207"/>
      <c r="W20" s="207"/>
      <c r="X20" s="207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25">
      <c r="A21" s="20"/>
      <c r="B21" s="62">
        <f>EDATE(DATE(_Setup!$B$4,10,1),ROW()-ROW($B$11))</f>
        <v>46235</v>
      </c>
      <c r="C21" s="81" t="str">
        <f>IF(_Ov_Ophthalmology!C21&lt;&gt;"",_Ov_Ophthalmology!C21,IFERROR(SUM(Portland!D21,Vancouver!D21,Salem!D21,Bend!D21)/SUM(Portland!C21,Vancouver!C21,Salem!C21,Bend!C21),""))</f>
        <v/>
      </c>
      <c r="D21" s="82" t="str">
        <f>IF(_Ov_Ophthalmology!D21&lt;&gt;"",_Ov_Ophthalmology!D21,IFERROR(SUM(Portland!G21,Vancouver!G21,Salem!G21,Bend!G21)/SUM(Portland!F21,Vancouver!F21,Salem!F21,Bend!F21),""))</f>
        <v/>
      </c>
      <c r="E21" s="83"/>
      <c r="F21" s="84"/>
      <c r="G21" s="204"/>
      <c r="H21" s="184" t="str">
        <f>IF(_Ov_Ophthalmology!H21&lt;&gt;"",_Ov_Ophthalmology!H21,IFERROR(SUM(Portland!L21,Vancouver!L21,Salem!L21,Bend!L21)/SUM(Portland!K21,Vancouver!K21,Salem!K21,Bend!K21),""))</f>
        <v/>
      </c>
      <c r="I21" s="154"/>
      <c r="J21" s="154"/>
      <c r="K21" s="154"/>
      <c r="L21" s="91"/>
      <c r="M21" s="197" t="str">
        <f>IF(_Ov_Ophthalmology!M21&lt;&gt;"",_Ov_Ophthalmology!M21,IFERROR(SUM(Portland!Q21,Vancouver!Q21,Salem!Q21,Bend!Q21,Nursing!F21,Supervisory!F21,Ophthalmology!F21)/SUM(Portland!P21,Vancouver!P21,Salem!P21,Bend!P21,Nursing!E21,Supervisory!E21,Ophthalmology!E21),""))</f>
        <v/>
      </c>
      <c r="N21" s="89"/>
      <c r="O21" s="91"/>
      <c r="P21" s="89"/>
      <c r="Q21" s="91"/>
      <c r="R21" s="207"/>
      <c r="S21" s="207"/>
      <c r="T21" s="207"/>
      <c r="U21" s="207"/>
      <c r="V21" s="207"/>
      <c r="W21" s="207"/>
      <c r="X21" s="207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thickBot="1" x14ac:dyDescent="0.3">
      <c r="A22" s="20"/>
      <c r="B22" s="62">
        <f>EDATE(DATE(_Setup!$B$4,10,1),ROW()-ROW($B$11))</f>
        <v>46266</v>
      </c>
      <c r="C22" s="81" t="str">
        <f>IF(_Ov_Ophthalmology!C22&lt;&gt;"",_Ov_Ophthalmology!C22,IFERROR(SUM(Portland!D22,Vancouver!D22,Salem!D22,Bend!D22)/SUM(Portland!C22,Vancouver!C22,Salem!C22,Bend!C22),""))</f>
        <v/>
      </c>
      <c r="D22" s="82" t="str">
        <f>IF(_Ov_Ophthalmology!D22&lt;&gt;"",_Ov_Ophthalmology!D22,IFERROR(SUM(Portland!G22,Vancouver!G22,Salem!G22,Bend!G22)/SUM(Portland!F22,Vancouver!F22,Salem!F22,Bend!F22),""))</f>
        <v/>
      </c>
      <c r="E22" s="83"/>
      <c r="F22" s="84"/>
      <c r="G22" s="205"/>
      <c r="H22" s="235" t="str">
        <f>IF(_Ov_Ophthalmology!H22&lt;&gt;"",_Ov_Ophthalmology!H22,IFERROR(SUM(Portland!L22,Vancouver!L22,Salem!L22,Bend!L22)/SUM(Portland!K22,Vancouver!K22,Salem!K22,Bend!K22),""))</f>
        <v/>
      </c>
      <c r="I22" s="162"/>
      <c r="J22" s="162"/>
      <c r="K22" s="162"/>
      <c r="L22" s="110"/>
      <c r="M22" s="199" t="str">
        <f>IF(_Ov_Ophthalmology!M22&lt;&gt;"",_Ov_Ophthalmology!M22,IFERROR(SUM(Portland!Q22,Vancouver!Q22,Salem!Q22,Bend!Q22,Nursing!F22,Supervisory!F22,Ophthalmology!F22)/SUM(Portland!P22,Vancouver!P22,Salem!P22,Bend!P22,Nursing!E22,Supervisory!E22,Ophthalmology!E22),""))</f>
        <v/>
      </c>
      <c r="N22" s="108"/>
      <c r="O22" s="110"/>
      <c r="P22" s="108"/>
      <c r="Q22" s="110"/>
      <c r="R22" s="207"/>
      <c r="S22" s="207"/>
      <c r="T22" s="207"/>
      <c r="U22" s="207"/>
      <c r="V22" s="207"/>
      <c r="W22" s="207"/>
      <c r="X22" s="207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thickTop="1" x14ac:dyDescent="0.25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207"/>
      <c r="S23" s="207"/>
      <c r="T23" s="207"/>
      <c r="U23" s="207"/>
      <c r="V23" s="207"/>
      <c r="W23" s="207"/>
      <c r="X23" s="207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25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25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25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25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25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25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25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25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25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25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25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25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25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25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25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25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25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25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25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25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25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25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25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25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25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25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25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25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25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25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25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25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25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25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25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25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25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25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25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25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25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25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25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25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25">
      <c r="A74" s="171" t="s">
        <v>162</v>
      </c>
      <c r="B74" s="171" t="s">
        <v>163</v>
      </c>
      <c r="C74" s="171" t="s">
        <v>164</v>
      </c>
      <c r="D74" s="2"/>
      <c r="E74" s="2"/>
      <c r="F74" s="169"/>
      <c r="G74" s="169"/>
      <c r="H74" s="169"/>
      <c r="I74" s="169"/>
      <c r="J74" s="169"/>
      <c r="K74" s="2"/>
      <c r="L74" s="2"/>
      <c r="M74" s="2"/>
      <c r="N74" s="2"/>
      <c r="O74" s="2"/>
      <c r="P74" s="2"/>
      <c r="Q74" s="2"/>
      <c r="R74" s="171"/>
      <c r="S74" s="171"/>
      <c r="T74" s="171"/>
      <c r="U74" s="171"/>
      <c r="V74" s="171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</row>
    <row r="75" spans="1:43" x14ac:dyDescent="0.25">
      <c r="A75" s="230">
        <v>0.9</v>
      </c>
      <c r="B75" s="230">
        <v>0.9</v>
      </c>
      <c r="C75" s="230">
        <v>0.8</v>
      </c>
    </row>
    <row r="76" spans="1:43" x14ac:dyDescent="0.25">
      <c r="A76" s="230">
        <v>0.9</v>
      </c>
      <c r="B76" s="230">
        <v>0.9</v>
      </c>
      <c r="C76" s="230">
        <v>0.8</v>
      </c>
    </row>
    <row r="77" spans="1:43" x14ac:dyDescent="0.25">
      <c r="A77" s="230">
        <v>0.9</v>
      </c>
      <c r="B77" s="230">
        <v>0.9</v>
      </c>
      <c r="C77" s="230">
        <v>0.8</v>
      </c>
    </row>
    <row r="78" spans="1:43" x14ac:dyDescent="0.25">
      <c r="A78" s="230">
        <v>0.9</v>
      </c>
      <c r="B78" s="230">
        <v>0.9</v>
      </c>
      <c r="C78" s="230">
        <v>0.8</v>
      </c>
    </row>
    <row r="79" spans="1:43" x14ac:dyDescent="0.25">
      <c r="A79" s="230">
        <v>0.9</v>
      </c>
      <c r="B79" s="230">
        <v>0.9</v>
      </c>
      <c r="C79" s="230">
        <v>0.8</v>
      </c>
    </row>
    <row r="80" spans="1:43" x14ac:dyDescent="0.25">
      <c r="A80" s="230">
        <v>0.9</v>
      </c>
      <c r="B80" s="230">
        <v>0.9</v>
      </c>
      <c r="C80" s="230">
        <v>0.8</v>
      </c>
    </row>
    <row r="81" spans="1:3" x14ac:dyDescent="0.25">
      <c r="A81" s="230">
        <v>0.9</v>
      </c>
      <c r="B81" s="230">
        <v>0.9</v>
      </c>
      <c r="C81" s="230">
        <v>0.8</v>
      </c>
    </row>
    <row r="82" spans="1:3" x14ac:dyDescent="0.25">
      <c r="A82" s="230">
        <v>0.9</v>
      </c>
      <c r="B82" s="230">
        <v>0.9</v>
      </c>
      <c r="C82" s="230">
        <v>0.8</v>
      </c>
    </row>
    <row r="83" spans="1:3" x14ac:dyDescent="0.25">
      <c r="A83" s="230">
        <v>0.9</v>
      </c>
      <c r="B83" s="230">
        <v>0.9</v>
      </c>
      <c r="C83" s="230">
        <v>0.8</v>
      </c>
    </row>
    <row r="84" spans="1:3" x14ac:dyDescent="0.25">
      <c r="A84" s="230">
        <v>0.9</v>
      </c>
      <c r="B84" s="230">
        <v>0.9</v>
      </c>
      <c r="C84" s="230">
        <v>0.8</v>
      </c>
    </row>
    <row r="85" spans="1:3" x14ac:dyDescent="0.25">
      <c r="A85" s="230">
        <v>0.9</v>
      </c>
      <c r="B85" s="230">
        <v>0.9</v>
      </c>
      <c r="C85" s="230">
        <v>0.8</v>
      </c>
    </row>
    <row r="86" spans="1:3" x14ac:dyDescent="0.25">
      <c r="A86" s="230">
        <v>0.9</v>
      </c>
      <c r="B86" s="230">
        <v>0.9</v>
      </c>
      <c r="C86" s="230">
        <v>0.8</v>
      </c>
    </row>
  </sheetData>
  <sheetProtection selectLockedCells="1" selectUnlockedCells="1"/>
  <mergeCells count="18">
    <mergeCell ref="N8:N9"/>
    <mergeCell ref="P8:P9"/>
    <mergeCell ref="P2:Q4"/>
    <mergeCell ref="G2:L4"/>
    <mergeCell ref="R2:X4"/>
    <mergeCell ref="H8:I9"/>
    <mergeCell ref="M2:O4"/>
    <mergeCell ref="Q8:Q9"/>
    <mergeCell ref="O8:O9"/>
    <mergeCell ref="C2:F4"/>
    <mergeCell ref="L8:L9"/>
    <mergeCell ref="C8:C9"/>
    <mergeCell ref="K8:K9"/>
    <mergeCell ref="M8:M9"/>
    <mergeCell ref="D8:D9"/>
    <mergeCell ref="E8:F9"/>
    <mergeCell ref="J8:J9"/>
    <mergeCell ref="G8:G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U86"/>
  <sheetViews>
    <sheetView zoomScaleNormal="100" workbookViewId="0">
      <selection activeCell="I21" sqref="I21"/>
    </sheetView>
  </sheetViews>
  <sheetFormatPr defaultColWidth="11.28515625" defaultRowHeight="15" x14ac:dyDescent="0.25"/>
  <sheetData>
    <row r="1" spans="1:47" ht="1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25">
      <c r="A2" s="1"/>
      <c r="B2" s="3"/>
      <c r="C2" s="277" t="s">
        <v>0</v>
      </c>
      <c r="D2" s="253"/>
      <c r="E2" s="253"/>
      <c r="F2" s="253"/>
      <c r="G2" s="279" t="s">
        <v>1</v>
      </c>
      <c r="H2" s="253"/>
      <c r="I2" s="253"/>
      <c r="J2" s="253"/>
      <c r="K2" s="280" t="s">
        <v>2</v>
      </c>
      <c r="L2" s="253"/>
      <c r="M2" s="253"/>
      <c r="N2" s="281" t="s">
        <v>3</v>
      </c>
      <c r="O2" s="253"/>
      <c r="P2" s="278" t="s">
        <v>43</v>
      </c>
      <c r="Q2" s="253"/>
      <c r="R2" s="253"/>
      <c r="S2" s="282" t="s">
        <v>44</v>
      </c>
      <c r="T2" s="253"/>
      <c r="U2" s="253"/>
      <c r="V2" s="275" t="s">
        <v>45</v>
      </c>
      <c r="W2" s="253"/>
      <c r="X2" s="1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25">
      <c r="A3" s="1"/>
      <c r="B3" s="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5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25">
      <c r="A4" s="1"/>
      <c r="B4" s="3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25">
      <c r="A5" s="1"/>
      <c r="B5" s="6" t="s">
        <v>11</v>
      </c>
      <c r="C5" s="7">
        <f>AVERAGE(C11:C22)</f>
        <v>0.68833554756934279</v>
      </c>
      <c r="D5" s="220">
        <f t="shared" ref="D5:H5" si="0">AVERAGE(D11:D22)</f>
        <v>1</v>
      </c>
      <c r="E5" s="9">
        <f>SUM(E11:E22)</f>
        <v>25</v>
      </c>
      <c r="F5" s="13">
        <f>SUM(F11:F22)</f>
        <v>146</v>
      </c>
      <c r="G5" s="11">
        <f>SUM(G11:G22)</f>
        <v>46807</v>
      </c>
      <c r="H5" s="133">
        <f t="shared" si="0"/>
        <v>0.82553266761855515</v>
      </c>
      <c r="I5" s="9">
        <f>SUM(I11:I22)</f>
        <v>675</v>
      </c>
      <c r="J5" s="13">
        <f>SUM(J11:J22)</f>
        <v>3</v>
      </c>
      <c r="K5" s="14">
        <f>AVERAGE(K11:K22)</f>
        <v>1</v>
      </c>
      <c r="L5" s="9">
        <f t="shared" ref="L5:Q5" si="1">SUM(L11:L22)</f>
        <v>0</v>
      </c>
      <c r="M5" s="13">
        <f t="shared" si="1"/>
        <v>65</v>
      </c>
      <c r="N5" s="15">
        <f t="shared" si="1"/>
        <v>38</v>
      </c>
      <c r="O5" s="16">
        <f t="shared" si="1"/>
        <v>0</v>
      </c>
      <c r="P5" s="11">
        <f t="shared" si="1"/>
        <v>23047</v>
      </c>
      <c r="Q5" s="10">
        <f t="shared" si="1"/>
        <v>7927</v>
      </c>
      <c r="R5" s="225">
        <f>AVERAGE(R11:R22)</f>
        <v>0.35982071449674519</v>
      </c>
      <c r="S5" s="17">
        <f>SUM(S11:S22)</f>
        <v>81</v>
      </c>
      <c r="T5" s="18">
        <f>SUM(T11:T22)</f>
        <v>51</v>
      </c>
      <c r="U5" s="17">
        <f>SUM(U11:U22)</f>
        <v>132</v>
      </c>
      <c r="V5" s="11"/>
      <c r="W5" s="13">
        <f>SUM(W11:W22)</f>
        <v>10961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25">
      <c r="A6" s="1"/>
      <c r="B6" s="6" t="s">
        <v>13</v>
      </c>
      <c r="C6" s="221" t="s">
        <v>47</v>
      </c>
      <c r="D6" s="222" t="s">
        <v>47</v>
      </c>
      <c r="E6" s="160">
        <f>AVERAGEIF(E11:E22, "&lt;&gt;0")</f>
        <v>3.125</v>
      </c>
      <c r="F6" s="38">
        <f>AVERAGEIF(F11:F22, "&lt;&gt;0")</f>
        <v>18.25</v>
      </c>
      <c r="G6" s="37">
        <f>AVERAGEIF(G11:G22, "&lt;&gt;0")</f>
        <v>5200.7777777777774</v>
      </c>
      <c r="H6" s="140" t="s">
        <v>47</v>
      </c>
      <c r="I6" s="160">
        <f>AVERAGEIF(I11:I22, "&lt;&gt;0")</f>
        <v>75</v>
      </c>
      <c r="J6" s="38">
        <f>AVERAGEIF(J11:J22, "&lt;&gt;0")</f>
        <v>1.5</v>
      </c>
      <c r="K6" s="219" t="s">
        <v>47</v>
      </c>
      <c r="L6" s="160" t="e">
        <f t="shared" ref="L6:Q6" si="2">AVERAGEIF(L11:L22, "&lt;&gt;0")</f>
        <v>#DIV/0!</v>
      </c>
      <c r="M6" s="38">
        <f t="shared" si="2"/>
        <v>16.25</v>
      </c>
      <c r="N6" s="37">
        <f t="shared" si="2"/>
        <v>4.2222222222222223</v>
      </c>
      <c r="O6" s="38" t="e">
        <f t="shared" si="2"/>
        <v>#DIV/0!</v>
      </c>
      <c r="P6" s="37">
        <f t="shared" si="2"/>
        <v>2560.7777777777778</v>
      </c>
      <c r="Q6" s="226">
        <f t="shared" si="2"/>
        <v>880.77777777777783</v>
      </c>
      <c r="R6" s="227" t="s">
        <v>47</v>
      </c>
      <c r="S6" s="35" t="s">
        <v>47</v>
      </c>
      <c r="T6" s="33" t="s">
        <v>47</v>
      </c>
      <c r="U6" s="36" t="s">
        <v>47</v>
      </c>
      <c r="V6" s="37">
        <f>AVERAGEIF(V11:V22, "&lt;&gt;0")</f>
        <v>8.5555555555555554</v>
      </c>
      <c r="W6" s="38">
        <f>AVERAGE(W11:W22)</f>
        <v>1217.8888888888889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25">
      <c r="A7" s="1"/>
      <c r="B7" s="6" t="s">
        <v>14</v>
      </c>
      <c r="C7" s="39">
        <f>_Setup!$E$5</f>
        <v>0.9</v>
      </c>
      <c r="D7" s="143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1">
        <f>_Setup!$D$13</f>
        <v>0</v>
      </c>
      <c r="M7" s="44">
        <f>_Setup!$E$13</f>
        <v>0</v>
      </c>
      <c r="N7" s="46">
        <f>_Setup!$G$13</f>
        <v>0</v>
      </c>
      <c r="O7" s="44">
        <f>_Setup!$H$13</f>
        <v>0</v>
      </c>
      <c r="P7" s="46" t="s">
        <v>47</v>
      </c>
      <c r="Q7" s="42" t="s">
        <v>47</v>
      </c>
      <c r="R7" s="22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25">
      <c r="A8" s="1"/>
      <c r="B8" s="51"/>
      <c r="C8" s="256" t="s">
        <v>15</v>
      </c>
      <c r="D8" s="258" t="s">
        <v>165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7" t="s">
        <v>23</v>
      </c>
      <c r="L8" s="263" t="s">
        <v>24</v>
      </c>
      <c r="M8" s="271" t="s">
        <v>25</v>
      </c>
      <c r="N8" s="264" t="s">
        <v>48</v>
      </c>
      <c r="O8" s="273" t="s">
        <v>49</v>
      </c>
      <c r="P8" s="274" t="s">
        <v>18</v>
      </c>
      <c r="Q8" s="274" t="s">
        <v>50</v>
      </c>
      <c r="R8" s="274" t="s">
        <v>51</v>
      </c>
      <c r="S8" s="272" t="s">
        <v>52</v>
      </c>
      <c r="T8" s="272" t="s">
        <v>53</v>
      </c>
      <c r="U8" s="272" t="s">
        <v>54</v>
      </c>
      <c r="V8" s="276" t="s">
        <v>55</v>
      </c>
      <c r="W8" s="27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25">
      <c r="A9" s="1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thickBo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168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3"/>
      <c r="T10" s="253"/>
      <c r="U10" s="253"/>
      <c r="V10" s="253"/>
      <c r="W10" s="253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thickTop="1" x14ac:dyDescent="0.25">
      <c r="A11" s="1"/>
      <c r="B11" s="62">
        <f>EDATE(DATE(_Setup!$B$4,10,1),ROW()-ROW($B$11))</f>
        <v>45931</v>
      </c>
      <c r="C11" s="63">
        <f>IF(_Ov_Optometry!C11&lt;&gt;"",_Ov_Optometry!C11,IFERROR(SUM(_Sys_Portland_Optom!D11,_Sys_Vancouver_Optom!D11,_Sys_Salem_Optom!D11,_Sys_Bend_Optom!D11,Optometry!D11)/SUM(_Sys_Portland_Optom!C11,_Sys_Vancouver_Optom!C11,_Sys_Salem_Optom!C11,_Sys_Bend_Optom!C11,Optometry!C11),""))</f>
        <v>0.45991561181434598</v>
      </c>
      <c r="D11" s="242">
        <f>IF(_Ov_Optometry!D11&lt;&gt;"",_Ov_Optometry!D11,IFERROR(SUM(_Sys_Portland_Optom!G11,_Sys_Vancouver_Optom!G11,_Sys_Salem_Optom!G11,_Sys_Bend_Optom!G11,Optometry!G11)/SUM(_Sys_Portland_Optom!F11,_Sys_Vancouver_Optom!F11,_Sys_Salem_Optom!F11,_Sys_Bend_Optom!F11,Optometry!F11),""))</f>
        <v>1</v>
      </c>
      <c r="E11" s="65">
        <f>IF(_Ov_Optometry!E11&lt;&gt;"",_Ov_Optometry!E11,SUM(_Sys_Portland_Optom!I11,_Sys_Vancouver_Optom!I11,_Sys_Salem_Optom!I11,_Sys_Bend_Optom!I11,Optometry!I11))</f>
        <v>1</v>
      </c>
      <c r="F11" s="66">
        <f>IF(_Ov_Optometry!F11&lt;&gt;"",_Ov_Optometry!F11,SUM(_Sys_Portland_Optom!J11,_Sys_Vancouver_Optom!J11,_Sys_Salem_Optom!J11,_Sys_Bend_Optom!J11,Optometry!J11))</f>
        <v>8</v>
      </c>
      <c r="G11" s="203">
        <v>5314</v>
      </c>
      <c r="H11" s="231">
        <f>IF(_Ov_Optometry!H11&lt;&gt;"",_Ov_Optometry!H11,IFERROR(SUM(_Sys_Portland_Optom!L11,_Sys_Vancouver_Optom!L11,_Sys_Salem_Optom!L11,_Sys_Bend_Optom!L11,Optometry!L11)/SUM(_Sys_Portland_Optom!K11,_Sys_Vancouver_Optom!K11,_Sys_Salem_Optom!K11,_Sys_Bend_Optom!K11,Optometry!K11),""))</f>
        <v>0.89532019704433496</v>
      </c>
      <c r="I11" s="69">
        <v>57</v>
      </c>
      <c r="J11" s="70">
        <f>IF(_Ov_Optometry!J11&lt;&gt;"",_Ov_Optometry!J11,SUM(_Sys_Portland_Optom!O11,_Sys_Vancouver_Optom!O11,_Sys_Salem_Optom!O11,_Sys_Bend_Optom!O11,Optometry!O11))</f>
        <v>0</v>
      </c>
      <c r="K11" s="195">
        <v>1</v>
      </c>
      <c r="L11" s="72">
        <f>IF(_Ov_Optometry!L11&lt;&gt;"",_Ov_Optometry!L11,SUM(Optical!H11,Optometry!H11))</f>
        <v>0</v>
      </c>
      <c r="M11" s="73">
        <f>IF(_Ov_Optometry!M11&lt;&gt;"",_Ov_Optometry!M11,SUM(Optical!I11,Optometry!I11))</f>
        <v>0</v>
      </c>
      <c r="N11" s="71">
        <f>IF(_Ov_Optometry!N11&lt;&gt;"",_Ov_Optometry!N11,SUM(Optical!J11))</f>
        <v>4.25</v>
      </c>
      <c r="O11" s="73">
        <f>IF(_Ov_Optometry!O11&lt;&gt;"",_Ov_Optometry!O11,SUM(Optical!K11))</f>
        <v>0</v>
      </c>
      <c r="P11" s="74">
        <f>IF(_Ov_Optometry!P11&lt;&gt;"",_Ov_Optometry!P11,SUM(Optical!L11))</f>
        <v>3255</v>
      </c>
      <c r="Q11" s="75">
        <f>IF(_Ov_Optometry!Q11&lt;&gt;"",_Ov_Optometry!Q11,SUM(Optical!M11))</f>
        <v>991</v>
      </c>
      <c r="R11" s="196">
        <f>IF(_Ov_Optometry!R11&lt;&gt;"",_Ov_Optometry!R11,IFERROR(Q11/P11,""))</f>
        <v>0.30445468509984641</v>
      </c>
      <c r="S11" s="77">
        <f>IF(_Ov_Optometry!S11&lt;&gt;"",_Ov_Optometry!S11,SUM(Optical!O11))</f>
        <v>6</v>
      </c>
      <c r="T11" s="78">
        <f>IF(_Ov_Optometry!T11&lt;&gt;"",_Ov_Optometry!T11,SUM(Optical!P11))</f>
        <v>6</v>
      </c>
      <c r="U11" s="79">
        <f>IF(_Ov_Optometry!U11&lt;&gt;"",_Ov_Optometry!U11,SUM(Optical!Q11))</f>
        <v>12</v>
      </c>
      <c r="V11" s="11">
        <f>IF(_Ov_Optometry!V11&lt;&gt;"",_Ov_Optometry!V11,SUM(Optical!R11))</f>
        <v>12</v>
      </c>
      <c r="W11" s="13">
        <f>IF(_Ov_Optometry!W11&lt;&gt;"",_Ov_Optometry!W11,SUM(Optical!S11))</f>
        <v>0</v>
      </c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25">
      <c r="A12" s="1"/>
      <c r="B12" s="62">
        <f>EDATE(DATE(_Setup!$B$4,10,1),ROW()-ROW($B$11))</f>
        <v>45962</v>
      </c>
      <c r="C12" s="81">
        <f>IF(_Ov_Optometry!C12&lt;&gt;"",_Ov_Optometry!C12,IFERROR(SUM(_Sys_Portland_Optom!D12,_Sys_Vancouver_Optom!D12,_Sys_Salem_Optom!D12,_Sys_Bend_Optom!D12,Optometry!D12)/SUM(_Sys_Portland_Optom!C12,_Sys_Vancouver_Optom!C12,_Sys_Salem_Optom!C12,_Sys_Bend_Optom!C12,Optometry!C12),""))</f>
        <v>0.47282608695652173</v>
      </c>
      <c r="D12" s="240">
        <v>1</v>
      </c>
      <c r="E12" s="83">
        <v>2</v>
      </c>
      <c r="F12" s="84">
        <f>IF(_Ov_Optometry!F12&lt;&gt;"",_Ov_Optometry!F12,SUM(_Sys_Portland_Optom!J12,_Sys_Vancouver_Optom!J12,_Sys_Salem_Optom!J12,_Sys_Bend_Optom!J12,Optometry!J12))</f>
        <v>12</v>
      </c>
      <c r="G12" s="204">
        <v>4463</v>
      </c>
      <c r="H12" s="232">
        <f>IF(_Ov_Optometry!H12&lt;&gt;"",_Ov_Optometry!H12,IFERROR(SUM(_Sys_Portland_Optom!L12,_Sys_Vancouver_Optom!L12,_Sys_Salem_Optom!L12,_Sys_Bend_Optom!L12,Optometry!L12)/SUM(_Sys_Portland_Optom!K12,_Sys_Vancouver_Optom!K12,_Sys_Salem_Optom!K12,_Sys_Bend_Optom!K12,Optometry!K12),""))</f>
        <v>0.87339971550497864</v>
      </c>
      <c r="I12" s="87">
        <v>50</v>
      </c>
      <c r="J12" s="88">
        <f>IF(_Ov_Optometry!J12&lt;&gt;"",_Ov_Optometry!J12,SUM(_Sys_Portland_Optom!O12,_Sys_Vancouver_Optom!O12,_Sys_Salem_Optom!O12,_Sys_Bend_Optom!O12,Optometry!O12))</f>
        <v>0</v>
      </c>
      <c r="K12" s="197">
        <v>1</v>
      </c>
      <c r="L12" s="90">
        <f>IF(_Ov_Optometry!L12&lt;&gt;"",_Ov_Optometry!L12,SUM(Optical!H12,Optometry!H12))</f>
        <v>0</v>
      </c>
      <c r="M12" s="91">
        <f>IF(_Ov_Optometry!M12&lt;&gt;"",_Ov_Optometry!M12,SUM(Optical!I12,Optometry!I12))</f>
        <v>0</v>
      </c>
      <c r="N12" s="89">
        <f>IF(_Ov_Optometry!N12&lt;&gt;"",_Ov_Optometry!N12,SUM(Optical!J12))</f>
        <v>9.25</v>
      </c>
      <c r="O12" s="91">
        <f>IF(_Ov_Optometry!O12&lt;&gt;"",_Ov_Optometry!O12,SUM(Optical!K12))</f>
        <v>0</v>
      </c>
      <c r="P12" s="92">
        <f>IF(_Ov_Optometry!P12&lt;&gt;"",_Ov_Optometry!P12,SUM(Optical!L12))</f>
        <v>2790</v>
      </c>
      <c r="Q12" s="93">
        <f>IF(_Ov_Optometry!Q12&lt;&gt;"",_Ov_Optometry!Q12,SUM(Optical!M12))</f>
        <v>705</v>
      </c>
      <c r="R12" s="198">
        <f>IF(_Ov_Optometry!R12&lt;&gt;"",_Ov_Optometry!R12,IFERROR(Q12/P12,""))</f>
        <v>0.25268817204301075</v>
      </c>
      <c r="S12" s="95">
        <f>IF(_Ov_Optometry!S12&lt;&gt;"",_Ov_Optometry!S12,SUM(Optical!O12))</f>
        <v>0</v>
      </c>
      <c r="T12" s="96">
        <f>IF(_Ov_Optometry!T12&lt;&gt;"",_Ov_Optometry!T12,SUM(Optical!P12))</f>
        <v>2</v>
      </c>
      <c r="U12" s="97">
        <f>IF(_Ov_Optometry!U12&lt;&gt;"",_Ov_Optometry!U12,SUM(Optical!Q12))</f>
        <v>2</v>
      </c>
      <c r="V12" s="37">
        <f>IF(_Ov_Optometry!V12&lt;&gt;"",_Ov_Optometry!V12,SUM(Optical!R12))</f>
        <v>12</v>
      </c>
      <c r="W12" s="38">
        <f>IF(_Ov_Optometry!W12&lt;&gt;"",_Ov_Optometry!W12,SUM(Optical!S12))</f>
        <v>0</v>
      </c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25">
      <c r="A13" s="1"/>
      <c r="B13" s="62">
        <f>EDATE(DATE(_Setup!$B$4,10,1),ROW()-ROW($B$11))</f>
        <v>45992</v>
      </c>
      <c r="C13" s="81">
        <f>IF(_Ov_Optometry!C13&lt;&gt;"",_Ov_Optometry!C13,IFERROR(SUM(_Sys_Portland_Optom!D13,_Sys_Vancouver_Optom!D13,_Sys_Salem_Optom!D13,_Sys_Bend_Optom!D13,Optometry!D13)/SUM(_Sys_Portland_Optom!C13,_Sys_Vancouver_Optom!C13,_Sys_Salem_Optom!C13,_Sys_Bend_Optom!C13,Optometry!C13),""))</f>
        <v>0.4419642857142857</v>
      </c>
      <c r="D13" s="82">
        <f>IF(_Ov_Optometry!D13&lt;&gt;"",_Ov_Optometry!D13,IFERROR(SUM(_Sys_Portland_Optom!G13,_Sys_Vancouver_Optom!G13,_Sys_Salem_Optom!G13,_Sys_Bend_Optom!G13,Optometry!G13)/SUM(_Sys_Portland_Optom!F13,_Sys_Vancouver_Optom!F13,_Sys_Salem_Optom!F13,_Sys_Bend_Optom!F13,Optometry!F13),""))</f>
        <v>1</v>
      </c>
      <c r="E13" s="83">
        <v>6</v>
      </c>
      <c r="F13" s="84">
        <v>37</v>
      </c>
      <c r="G13" s="204">
        <v>5063</v>
      </c>
      <c r="H13" s="232">
        <f>IF(_Ov_Optometry!H13&lt;&gt;"",_Ov_Optometry!H13,IFERROR(SUM(_Sys_Portland_Optom!L13,_Sys_Vancouver_Optom!L13,_Sys_Salem_Optom!L13,_Sys_Bend_Optom!L13,Optometry!L13)/SUM(_Sys_Portland_Optom!K13,_Sys_Vancouver_Optom!K13,_Sys_Salem_Optom!K13,_Sys_Bend_Optom!K13,Optometry!K13),""))</f>
        <v>0.84531059683313037</v>
      </c>
      <c r="I13" s="87">
        <v>47</v>
      </c>
      <c r="J13" s="88">
        <f>IF(_Ov_Optometry!J13&lt;&gt;"",_Ov_Optometry!J13,SUM(_Sys_Portland_Optom!O13,_Sys_Vancouver_Optom!O13,_Sys_Salem_Optom!O13,_Sys_Bend_Optom!O13,Optometry!O13))</f>
        <v>0</v>
      </c>
      <c r="K13" s="197">
        <v>1</v>
      </c>
      <c r="L13" s="90">
        <f>IF(_Ov_Optometry!L13&lt;&gt;"",_Ov_Optometry!L13,SUM(Optical!H13,Optometry!H13))</f>
        <v>0</v>
      </c>
      <c r="M13" s="91">
        <f>IF(_Ov_Optometry!M13&lt;&gt;"",_Ov_Optometry!M13,SUM(Optical!I13,Optometry!I13))</f>
        <v>0</v>
      </c>
      <c r="N13" s="89">
        <f>IF(_Ov_Optometry!N13&lt;&gt;"",_Ov_Optometry!N13,SUM(Optical!J13))</f>
        <v>5</v>
      </c>
      <c r="O13" s="91">
        <f>IF(_Ov_Optometry!O13&lt;&gt;"",_Ov_Optometry!O13,SUM(Optical!K13))</f>
        <v>0</v>
      </c>
      <c r="P13" s="92">
        <f>IF(_Ov_Optometry!P13&lt;&gt;"",_Ov_Optometry!P13,SUM(Optical!L13))</f>
        <v>3410</v>
      </c>
      <c r="Q13" s="93">
        <f>IF(_Ov_Optometry!Q13&lt;&gt;"",_Ov_Optometry!Q13,SUM(Optical!M13))</f>
        <v>887</v>
      </c>
      <c r="R13" s="198">
        <f>IF(_Ov_Optometry!R13&lt;&gt;"",_Ov_Optometry!R13,IFERROR(Q13/P13,""))</f>
        <v>0.26011730205278594</v>
      </c>
      <c r="S13" s="95">
        <f>IF(_Ov_Optometry!S13&lt;&gt;"",_Ov_Optometry!S13,SUM(Optical!O13))</f>
        <v>9</v>
      </c>
      <c r="T13" s="96">
        <f>IF(_Ov_Optometry!T13&lt;&gt;"",_Ov_Optometry!T13,SUM(Optical!P13))</f>
        <v>9</v>
      </c>
      <c r="U13" s="97">
        <f>IF(_Ov_Optometry!U13&lt;&gt;"",_Ov_Optometry!U13,SUM(Optical!Q13))</f>
        <v>18</v>
      </c>
      <c r="V13" s="37">
        <f>IF(_Ov_Optometry!V13&lt;&gt;"",_Ov_Optometry!V13,SUM(Optical!R13))</f>
        <v>12</v>
      </c>
      <c r="W13" s="38">
        <f>IF(_Ov_Optometry!W13&lt;&gt;"",_Ov_Optometry!W13,SUM(Optical!S13))</f>
        <v>0</v>
      </c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25">
      <c r="A14" s="1"/>
      <c r="B14" s="62">
        <f>EDATE(DATE(_Setup!$B$4,10,1),ROW()-ROW($B$11))</f>
        <v>46023</v>
      </c>
      <c r="C14" s="81">
        <f>IF(_Ov_Optometry!C14&lt;&gt;"",_Ov_Optometry!C14,IFERROR(SUM(_Sys_Portland_Optom!D14,_Sys_Vancouver_Optom!D14,_Sys_Salem_Optom!D14,_Sys_Bend_Optom!D14,Optometry!D14)/SUM(_Sys_Portland_Optom!C14,_Sys_Vancouver_Optom!C14,_Sys_Salem_Optom!C14,_Sys_Bend_Optom!C14,Optometry!C14),""))</f>
        <v>0.47668393782383417</v>
      </c>
      <c r="D14" s="82">
        <f>IF(_Ov_Optometry!D14&lt;&gt;"",_Ov_Optometry!D14,IFERROR(SUM(_Sys_Portland_Optom!G14,_Sys_Vancouver_Optom!G14,_Sys_Salem_Optom!G14,_Sys_Bend_Optom!G14,Optometry!G14)/SUM(_Sys_Portland_Optom!F14,_Sys_Vancouver_Optom!F14,_Sys_Salem_Optom!F14,_Sys_Bend_Optom!F14,Optometry!F14),""))</f>
        <v>1</v>
      </c>
      <c r="E14" s="83">
        <f>IF(_Ov_Optometry!E14&lt;&gt;"",_Ov_Optometry!E14,SUM(_Sys_Portland_Optom!I14,_Sys_Vancouver_Optom!I14,_Sys_Salem_Optom!I14,_Sys_Bend_Optom!I14,Optometry!I14))</f>
        <v>4</v>
      </c>
      <c r="F14" s="84">
        <f>IF(_Ov_Optometry!F14&lt;&gt;"",_Ov_Optometry!F14,SUM(_Sys_Portland_Optom!J14,_Sys_Vancouver_Optom!J14,_Sys_Salem_Optom!J14,_Sys_Bend_Optom!J14,Optometry!J14))</f>
        <v>11</v>
      </c>
      <c r="G14" s="204">
        <v>5141</v>
      </c>
      <c r="H14" s="232">
        <f>IF(_Ov_Optometry!H14&lt;&gt;"",_Ov_Optometry!H14,IFERROR(SUM(_Sys_Portland_Optom!L14,_Sys_Vancouver_Optom!L14,_Sys_Salem_Optom!L14,_Sys_Bend_Optom!L14,Optometry!L14)/SUM(_Sys_Portland_Optom!K14,_Sys_Vancouver_Optom!K14,_Sys_Salem_Optom!K14,_Sys_Bend_Optom!K14,Optometry!K14),""))</f>
        <v>0.85155195681511475</v>
      </c>
      <c r="I14" s="87">
        <v>48</v>
      </c>
      <c r="J14" s="88">
        <f>IF(_Ov_Optometry!J14&lt;&gt;"",_Ov_Optometry!J14,SUM(_Sys_Portland_Optom!O14,_Sys_Vancouver_Optom!O14,_Sys_Salem_Optom!O14,_Sys_Bend_Optom!O14,Optometry!O14))</f>
        <v>0</v>
      </c>
      <c r="K14" s="197">
        <v>1</v>
      </c>
      <c r="L14" s="90">
        <f>IF(_Ov_Optometry!L14&lt;&gt;"",_Ov_Optometry!L14,SUM(Optical!H14,Optometry!H14))</f>
        <v>0</v>
      </c>
      <c r="M14" s="91">
        <f>IF(_Ov_Optometry!M14&lt;&gt;"",_Ov_Optometry!M14,SUM(Optical!I14,Optometry!I14))</f>
        <v>32</v>
      </c>
      <c r="N14" s="89">
        <f>IF(_Ov_Optometry!N14&lt;&gt;"",_Ov_Optometry!N14,SUM(Optical!J14))</f>
        <v>4.5</v>
      </c>
      <c r="O14" s="91">
        <f>IF(_Ov_Optometry!O14&lt;&gt;"",_Ov_Optometry!O14,SUM(Optical!K14))</f>
        <v>0</v>
      </c>
      <c r="P14" s="92">
        <f>IF(_Ov_Optometry!P14&lt;&gt;"",_Ov_Optometry!P14,SUM(Optical!L14))</f>
        <v>3085</v>
      </c>
      <c r="Q14" s="93">
        <f>IF(_Ov_Optometry!Q14&lt;&gt;"",_Ov_Optometry!Q14,SUM(Optical!M14))</f>
        <v>885</v>
      </c>
      <c r="R14" s="198">
        <f>IF(_Ov_Optometry!R14&lt;&gt;"",_Ov_Optometry!R14,IFERROR(Q14/P14,""))</f>
        <v>0.28687196110210694</v>
      </c>
      <c r="S14" s="95">
        <f>IF(_Ov_Optometry!S14&lt;&gt;"",_Ov_Optometry!S14,SUM(Optical!O14))</f>
        <v>20</v>
      </c>
      <c r="T14" s="96">
        <f>IF(_Ov_Optometry!T14&lt;&gt;"",_Ov_Optometry!T14,SUM(Optical!P14))</f>
        <v>17</v>
      </c>
      <c r="U14" s="97">
        <f>IF(_Ov_Optometry!U14&lt;&gt;"",_Ov_Optometry!U14,SUM(Optical!Q14))</f>
        <v>37</v>
      </c>
      <c r="V14" s="37">
        <f>IF(_Ov_Optometry!V14&lt;&gt;"",_Ov_Optometry!V14,SUM(Optical!R14))</f>
        <v>11</v>
      </c>
      <c r="W14" s="38">
        <f>IF(_Ov_Optometry!W14&lt;&gt;"",_Ov_Optometry!W14,SUM(Optical!S14))</f>
        <v>1696</v>
      </c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25">
      <c r="A15" s="1"/>
      <c r="B15" s="62">
        <f>EDATE(DATE(_Setup!$B$4,10,1),ROW()-ROW($B$11))</f>
        <v>46054</v>
      </c>
      <c r="C15" s="81">
        <f>IF(_Ov_Optometry!C15&lt;&gt;"",_Ov_Optometry!C15,IFERROR(SUM(_Sys_Portland_Optom!D15,_Sys_Vancouver_Optom!D15,_Sys_Salem_Optom!D15,_Sys_Bend_Optom!D15,Optometry!D15)/SUM(_Sys_Portland_Optom!C15,_Sys_Vancouver_Optom!C15,_Sys_Salem_Optom!C15,_Sys_Bend_Optom!C15,Optometry!C15),""))</f>
        <v>0.54455445544554459</v>
      </c>
      <c r="D15" s="82">
        <v>1</v>
      </c>
      <c r="E15" s="83">
        <v>5</v>
      </c>
      <c r="F15" s="84">
        <v>26</v>
      </c>
      <c r="G15" s="204">
        <v>4996</v>
      </c>
      <c r="H15" s="232">
        <f>IF(_Ov_Optometry!H15&lt;&gt;"",_Ov_Optometry!H15,IFERROR(SUM(_Sys_Portland_Optom!L15,_Sys_Vancouver_Optom!L15,_Sys_Salem_Optom!L15,_Sys_Bend_Optom!L15,Optometry!L15)/SUM(_Sys_Portland_Optom!K15,_Sys_Vancouver_Optom!K15,_Sys_Salem_Optom!K15,_Sys_Bend_Optom!K15,Optometry!K15),""))</f>
        <v>0.82857142857142863</v>
      </c>
      <c r="I15" s="87">
        <v>56</v>
      </c>
      <c r="J15" s="88">
        <f>IF(_Ov_Optometry!J15&lt;&gt;"",_Ov_Optometry!J15,SUM(_Sys_Portland_Optom!O15,_Sys_Vancouver_Optom!O15,_Sys_Salem_Optom!O15,_Sys_Bend_Optom!O15,Optometry!O15))</f>
        <v>1</v>
      </c>
      <c r="K15" s="197">
        <v>1</v>
      </c>
      <c r="L15" s="90">
        <f>IF(_Ov_Optometry!L15&lt;&gt;"",_Ov_Optometry!L15,SUM(Optical!H15,Optometry!H15))</f>
        <v>0</v>
      </c>
      <c r="M15" s="91">
        <f>IF(_Ov_Optometry!M15&lt;&gt;"",_Ov_Optometry!M15,SUM(Optical!I15,Optometry!I15))</f>
        <v>24</v>
      </c>
      <c r="N15" s="89">
        <f>IF(_Ov_Optometry!N15&lt;&gt;"",_Ov_Optometry!N15,SUM(Optical!J15))</f>
        <v>4.25</v>
      </c>
      <c r="O15" s="91">
        <f>IF(_Ov_Optometry!O15&lt;&gt;"",_Ov_Optometry!O15,SUM(Optical!K15))</f>
        <v>0</v>
      </c>
      <c r="P15" s="92">
        <f>IF(_Ov_Optometry!P15&lt;&gt;"",_Ov_Optometry!P15,SUM(Optical!L15))</f>
        <v>1748</v>
      </c>
      <c r="Q15" s="93">
        <f>IF(_Ov_Optometry!Q15&lt;&gt;"",_Ov_Optometry!Q15,SUM(Optical!M15))</f>
        <v>840</v>
      </c>
      <c r="R15" s="198">
        <f>IF(_Ov_Optometry!R15&lt;&gt;"",_Ov_Optometry!R15,IFERROR(Q15/P15,""))</f>
        <v>0.4805491990846682</v>
      </c>
      <c r="S15" s="95">
        <f>IF(_Ov_Optometry!S15&lt;&gt;"",_Ov_Optometry!S15,SUM(Optical!O15))</f>
        <v>10</v>
      </c>
      <c r="T15" s="96">
        <f>IF(_Ov_Optometry!T15&lt;&gt;"",_Ov_Optometry!T15,SUM(Optical!P15))</f>
        <v>3</v>
      </c>
      <c r="U15" s="97">
        <f>IF(_Ov_Optometry!U15&lt;&gt;"",_Ov_Optometry!U15,SUM(Optical!Q15))</f>
        <v>13</v>
      </c>
      <c r="V15" s="37">
        <f>IF(_Ov_Optometry!V15&lt;&gt;"",_Ov_Optometry!V15,SUM(Optical!R15))</f>
        <v>10</v>
      </c>
      <c r="W15" s="38">
        <f>IF(_Ov_Optometry!W15&lt;&gt;"",_Ov_Optometry!W15,SUM(Optical!S15))</f>
        <v>1739</v>
      </c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25">
      <c r="A16" s="1"/>
      <c r="B16" s="62">
        <f>EDATE(DATE(_Setup!$B$4,10,1),ROW()-ROW($B$11))</f>
        <v>46082</v>
      </c>
      <c r="C16" s="81">
        <f>IF(_Ov_Optometry!C16&lt;&gt;"",_Ov_Optometry!C16,IFERROR(SUM(_Sys_Portland_Optom!D16,_Sys_Vancouver_Optom!D16,_Sys_Salem_Optom!D16,_Sys_Bend_Optom!D16,Optometry!D16)/SUM(_Sys_Portland_Optom!C16,_Sys_Vancouver_Optom!C16,_Sys_Salem_Optom!C16,_Sys_Bend_Optom!C16,Optometry!C16),""))</f>
        <v>0.72340425531914898</v>
      </c>
      <c r="D16" s="236">
        <f>IF(_Ov_Optometry!D16&lt;&gt;"",_Ov_Optometry!D16,IFERROR(SUM(_Sys_Portland_Optom!G16,_Sys_Vancouver_Optom!G16,_Sys_Salem_Optom!G16,_Sys_Bend_Optom!G16,Optometry!G16)/SUM(_Sys_Portland_Optom!F16,_Sys_Vancouver_Optom!F16,_Sys_Salem_Optom!F16,_Sys_Bend_Optom!F16,Optometry!F16),""))</f>
        <v>1</v>
      </c>
      <c r="E16" s="83">
        <v>3</v>
      </c>
      <c r="F16" s="84">
        <v>27</v>
      </c>
      <c r="G16" s="204">
        <v>5811</v>
      </c>
      <c r="H16" s="232">
        <f>IF(_Ov_Optometry!H16&lt;&gt;"",_Ov_Optometry!H16,IFERROR(SUM(_Sys_Portland_Optom!L16,_Sys_Vancouver_Optom!L16,_Sys_Salem_Optom!L16,_Sys_Bend_Optom!L16,Optometry!L16)/SUM(_Sys_Portland_Optom!K16,_Sys_Vancouver_Optom!K16,_Sys_Salem_Optom!K16,_Sys_Bend_Optom!K16,Optometry!K16),""))</f>
        <v>0.85064011379800852</v>
      </c>
      <c r="I16" s="87">
        <v>151</v>
      </c>
      <c r="J16" s="88">
        <f>IF(_Ov_Optometry!J16&lt;&gt;"",_Ov_Optometry!J16,SUM(_Sys_Portland_Optom!O16,_Sys_Vancouver_Optom!O16,_Sys_Salem_Optom!O16,_Sys_Bend_Optom!O16,Optometry!O16))</f>
        <v>0</v>
      </c>
      <c r="K16" s="197">
        <v>1</v>
      </c>
      <c r="L16" s="90">
        <f>IF(_Ov_Optometry!L16&lt;&gt;"",_Ov_Optometry!L16,SUM(Optical!H16,Optometry!H16))</f>
        <v>0</v>
      </c>
      <c r="M16" s="91">
        <f>IF(_Ov_Optometry!M16&lt;&gt;"",_Ov_Optometry!M16,SUM(Optical!I16,Optometry!I16))</f>
        <v>0</v>
      </c>
      <c r="N16" s="89">
        <f>IF(_Ov_Optometry!N16&lt;&gt;"",_Ov_Optometry!N16,SUM(Optical!J16))</f>
        <v>5</v>
      </c>
      <c r="O16" s="91">
        <f>IF(_Ov_Optometry!O16&lt;&gt;"",_Ov_Optometry!O16,SUM(Optical!K16))</f>
        <v>0</v>
      </c>
      <c r="P16" s="237">
        <v>2236</v>
      </c>
      <c r="Q16" s="238">
        <v>989</v>
      </c>
      <c r="R16" s="198">
        <f>IF(_Ov_Optometry!R16&lt;&gt;"",_Ov_Optometry!R16,IFERROR(Q16/P16,""))</f>
        <v>0.44230769230769229</v>
      </c>
      <c r="S16" s="95">
        <f>IF(_Ov_Optometry!S16&lt;&gt;"",_Ov_Optometry!S16,SUM(Optical!O16))</f>
        <v>9</v>
      </c>
      <c r="T16" s="96">
        <f>IF(_Ov_Optometry!T16&lt;&gt;"",_Ov_Optometry!T16,SUM(Optical!P16))</f>
        <v>2</v>
      </c>
      <c r="U16" s="97">
        <f>IF(_Ov_Optometry!U16&lt;&gt;"",_Ov_Optometry!U16,SUM(Optical!Q16))</f>
        <v>11</v>
      </c>
      <c r="V16" s="37">
        <f>IF(_Ov_Optometry!V16&lt;&gt;"",_Ov_Optometry!V16,SUM(Optical!R16))</f>
        <v>8</v>
      </c>
      <c r="W16" s="38">
        <f>IF(_Ov_Optometry!W16&lt;&gt;"",_Ov_Optometry!W16,SUM(Optical!S16))</f>
        <v>1801</v>
      </c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25">
      <c r="A17" s="1"/>
      <c r="B17" s="62">
        <f>EDATE(DATE(_Setup!$B$4,10,1),ROW()-ROW($B$11))</f>
        <v>46113</v>
      </c>
      <c r="C17" s="81">
        <f>IF(_Ov_Optometry!C17&lt;&gt;"",_Ov_Optometry!C17,IFERROR(SUM(_Sys_Portland_Optom!D17,_Sys_Vancouver_Optom!D17,_Sys_Salem_Optom!D17,_Sys_Bend_Optom!D17,Optometry!D17)/SUM(_Sys_Portland_Optom!C17,_Sys_Vancouver_Optom!C17,_Sys_Salem_Optom!C17,_Sys_Bend_Optom!C17,Optometry!C17),""))</f>
        <v>0.95</v>
      </c>
      <c r="D17" s="82">
        <f>IF(_Ov_Optometry!D17&lt;&gt;"",_Ov_Optometry!D17,IFERROR(SUM(_Sys_Portland_Optom!G17,_Sys_Vancouver_Optom!G17,_Sys_Salem_Optom!G17,_Sys_Bend_Optom!G17,Optometry!G17)/SUM(_Sys_Portland_Optom!F17,_Sys_Vancouver_Optom!F17,_Sys_Salem_Optom!F17,_Sys_Bend_Optom!F17,Optometry!F17),""))</f>
        <v>1</v>
      </c>
      <c r="E17" s="83">
        <v>0</v>
      </c>
      <c r="F17" s="84">
        <v>0</v>
      </c>
      <c r="G17" s="204">
        <v>5601</v>
      </c>
      <c r="H17" s="232">
        <v>0.753</v>
      </c>
      <c r="I17" s="87">
        <v>115</v>
      </c>
      <c r="J17" s="88">
        <v>0</v>
      </c>
      <c r="K17" s="197">
        <v>1</v>
      </c>
      <c r="L17" s="90">
        <v>0</v>
      </c>
      <c r="M17" s="91">
        <v>0</v>
      </c>
      <c r="N17" s="89">
        <v>2</v>
      </c>
      <c r="O17" s="91">
        <v>0</v>
      </c>
      <c r="P17" s="237">
        <v>2236</v>
      </c>
      <c r="Q17" s="238">
        <v>906</v>
      </c>
      <c r="R17" s="198">
        <v>0.40500000000000003</v>
      </c>
      <c r="S17" s="95">
        <v>8</v>
      </c>
      <c r="T17" s="96">
        <v>5</v>
      </c>
      <c r="U17" s="97">
        <v>13</v>
      </c>
      <c r="V17" s="37">
        <v>3</v>
      </c>
      <c r="W17" s="38">
        <v>2010</v>
      </c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25">
      <c r="A18" s="1"/>
      <c r="B18" s="62">
        <f>EDATE(DATE(_Setup!$B$4,10,1),ROW()-ROW($B$11))</f>
        <v>46143</v>
      </c>
      <c r="C18" s="81">
        <f>IF(_Ov_Optometry!C18&lt;&gt;"",_Ov_Optometry!C18,IFERROR(SUM(_Sys_Portland_Optom!D18,_Sys_Vancouver_Optom!D18,_Sys_Salem_Optom!D18,_Sys_Bend_Optom!D18,Optometry!D18)/SUM(_Sys_Portland_Optom!C18,_Sys_Vancouver_Optom!C18,_Sys_Salem_Optom!C18,_Sys_Bend_Optom!C18,Optometry!C18),""))</f>
        <v>0.95161290322580649</v>
      </c>
      <c r="D18" s="82">
        <v>1</v>
      </c>
      <c r="E18" s="83">
        <v>3</v>
      </c>
      <c r="F18" s="84">
        <v>13</v>
      </c>
      <c r="G18" s="204">
        <v>4968</v>
      </c>
      <c r="H18" s="232">
        <v>0.75900000000000001</v>
      </c>
      <c r="I18" s="87">
        <v>103</v>
      </c>
      <c r="J18" s="88">
        <v>2</v>
      </c>
      <c r="K18" s="197">
        <v>1</v>
      </c>
      <c r="L18" s="90">
        <v>0</v>
      </c>
      <c r="M18" s="91">
        <v>2</v>
      </c>
      <c r="N18" s="89">
        <v>2</v>
      </c>
      <c r="O18" s="91">
        <v>0</v>
      </c>
      <c r="P18" s="92">
        <v>2040</v>
      </c>
      <c r="Q18" s="93">
        <v>867</v>
      </c>
      <c r="R18" s="198">
        <v>0.42499999999999999</v>
      </c>
      <c r="S18" s="95">
        <v>16</v>
      </c>
      <c r="T18" s="96">
        <v>4</v>
      </c>
      <c r="U18" s="97">
        <v>20</v>
      </c>
      <c r="V18" s="37">
        <v>4</v>
      </c>
      <c r="W18" s="38">
        <v>1743</v>
      </c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25">
      <c r="A19" s="1"/>
      <c r="B19" s="62">
        <f>EDATE(DATE(_Setup!$B$4,10,1),ROW()-ROW($B$11))</f>
        <v>46174</v>
      </c>
      <c r="C19" s="81">
        <v>0.92300000000000004</v>
      </c>
      <c r="D19" s="239">
        <v>1</v>
      </c>
      <c r="E19" s="83">
        <v>1</v>
      </c>
      <c r="F19" s="84">
        <v>12</v>
      </c>
      <c r="G19" s="204">
        <v>5450</v>
      </c>
      <c r="H19" s="232">
        <v>0.77300000000000002</v>
      </c>
      <c r="I19" s="87">
        <v>48</v>
      </c>
      <c r="J19" s="88">
        <f>IF(_Ov_Optometry!J19&lt;&gt;"",_Ov_Optometry!J19,SUM(_Sys_Portland_Optom!O19,_Sys_Vancouver_Optom!O19,_Sys_Salem_Optom!O19,_Sys_Bend_Optom!O19,Optometry!O19))</f>
        <v>0</v>
      </c>
      <c r="K19" s="197">
        <v>1</v>
      </c>
      <c r="L19" s="90">
        <f>IF(_Ov_Optometry!L19&lt;&gt;"",_Ov_Optometry!L19,SUM(Optical!H19,Optometry!H19))</f>
        <v>0</v>
      </c>
      <c r="M19" s="91">
        <f>IF(_Ov_Optometry!M19&lt;&gt;"",_Ov_Optometry!M19,SUM(Optical!I19,Optometry!I19))</f>
        <v>7</v>
      </c>
      <c r="N19" s="89">
        <f>IF(_Ov_Optometry!N19&lt;&gt;"",_Ov_Optometry!N19,SUM(Optical!J19))</f>
        <v>1.75</v>
      </c>
      <c r="O19" s="91">
        <f>IF(_Ov_Optometry!O19&lt;&gt;"",_Ov_Optometry!O19,SUM(Optical!K19))</f>
        <v>0</v>
      </c>
      <c r="P19" s="92">
        <f>IF(_Ov_Optometry!P19&lt;&gt;"",_Ov_Optometry!P19,SUM(Optical!L19))</f>
        <v>2247</v>
      </c>
      <c r="Q19" s="93">
        <f>IF(_Ov_Optometry!Q19&lt;&gt;"",_Ov_Optometry!Q19,SUM(Optical!M19))</f>
        <v>857</v>
      </c>
      <c r="R19" s="198">
        <f>IF(_Ov_Optometry!R19&lt;&gt;"",_Ov_Optometry!R19,IFERROR(Q19/P19,""))</f>
        <v>0.38139741878059635</v>
      </c>
      <c r="S19" s="95">
        <f>IF(_Ov_Optometry!S19&lt;&gt;"",_Ov_Optometry!S19,SUM(Optical!O19))</f>
        <v>3</v>
      </c>
      <c r="T19" s="96">
        <f>IF(_Ov_Optometry!T19&lt;&gt;"",_Ov_Optometry!T19,SUM(Optical!P19))</f>
        <v>3</v>
      </c>
      <c r="U19" s="97">
        <f>IF(_Ov_Optometry!U19&lt;&gt;"",_Ov_Optometry!U19,SUM(Optical!Q19))</f>
        <v>6</v>
      </c>
      <c r="V19" s="37">
        <f>IF(_Ov_Optometry!V19&lt;&gt;"",_Ov_Optometry!V19,SUM(Optical!R19))</f>
        <v>5</v>
      </c>
      <c r="W19" s="38">
        <f>IF(_Ov_Optometry!W19&lt;&gt;"",_Ov_Optometry!W19,SUM(Optical!S19))</f>
        <v>1972</v>
      </c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25">
      <c r="A20" s="1"/>
      <c r="B20" s="62">
        <f>EDATE(DATE(_Setup!$B$4,10,1),ROW()-ROW($B$11))</f>
        <v>46204</v>
      </c>
      <c r="C20" s="81">
        <f>IF(_Ov_Optometry!C20&lt;&gt;"",_Ov_Optometry!C20,IFERROR(SUM(_Sys_Portland_Optom!D20,_Sys_Vancouver_Optom!D20,_Sys_Salem_Optom!D20,_Sys_Bend_Optom!D20,Optometry!D20)/SUM(_Sys_Portland_Optom!C20,_Sys_Vancouver_Optom!C20,_Sys_Salem_Optom!C20,_Sys_Bend_Optom!C20,Optometry!C20),""))</f>
        <v>0.93939393939393945</v>
      </c>
      <c r="D20" s="82" t="str">
        <f>IF(_Ov_Optometry!D20&lt;&gt;"",_Ov_Optometry!D20,IFERROR(SUM(_Sys_Portland_Optom!G20,_Sys_Vancouver_Optom!G20,_Sys_Salem_Optom!G20,_Sys_Bend_Optom!G20,Optometry!G20)/SUM(_Sys_Portland_Optom!F20,_Sys_Vancouver_Optom!F20,_Sys_Salem_Optom!F20,_Sys_Bend_Optom!F20,Optometry!F20),""))</f>
        <v/>
      </c>
      <c r="E20" s="83"/>
      <c r="F20" s="84"/>
      <c r="G20" s="204"/>
      <c r="H20" s="232"/>
      <c r="I20" s="87"/>
      <c r="J20" s="88"/>
      <c r="K20" s="197"/>
      <c r="L20" s="90"/>
      <c r="M20" s="91"/>
      <c r="N20" s="89"/>
      <c r="O20" s="91"/>
      <c r="P20" s="92"/>
      <c r="Q20" s="93"/>
      <c r="R20" s="198"/>
      <c r="S20" s="95"/>
      <c r="T20" s="96"/>
      <c r="U20" s="97"/>
      <c r="V20" s="37"/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25">
      <c r="A21" s="1"/>
      <c r="B21" s="62">
        <f>EDATE(DATE(_Setup!$B$4,10,1),ROW()-ROW($B$11))</f>
        <v>46235</v>
      </c>
      <c r="C21" s="81" t="str">
        <f>IF(_Ov_Optometry!C21&lt;&gt;"",_Ov_Optometry!C21,IFERROR(SUM(_Sys_Portland_Optom!D21,_Sys_Vancouver_Optom!D21,_Sys_Salem_Optom!D21,_Sys_Bend_Optom!D21,Optometry!D21)/SUM(_Sys_Portland_Optom!C21,_Sys_Vancouver_Optom!C21,_Sys_Salem_Optom!C21,_Sys_Bend_Optom!C21,Optometry!C21),""))</f>
        <v/>
      </c>
      <c r="D21" s="82" t="str">
        <f>IF(_Ov_Optometry!D21&lt;&gt;"",_Ov_Optometry!D21,IFERROR(SUM(_Sys_Portland_Optom!G21,_Sys_Vancouver_Optom!G21,_Sys_Salem_Optom!G21,_Sys_Bend_Optom!G21,Optometry!G21)/SUM(_Sys_Portland_Optom!F21,_Sys_Vancouver_Optom!F21,_Sys_Salem_Optom!F21,_Sys_Bend_Optom!F21,Optometry!F21),""))</f>
        <v/>
      </c>
      <c r="E21" s="83"/>
      <c r="F21" s="84"/>
      <c r="G21" s="204"/>
      <c r="H21" s="232"/>
      <c r="I21" s="87"/>
      <c r="J21" s="88"/>
      <c r="K21" s="197"/>
      <c r="L21" s="90"/>
      <c r="M21" s="91"/>
      <c r="N21" s="89"/>
      <c r="O21" s="91"/>
      <c r="P21" s="92"/>
      <c r="Q21" s="93"/>
      <c r="R21" s="198"/>
      <c r="S21" s="98"/>
      <c r="T21" s="99"/>
      <c r="U21" s="97"/>
      <c r="V21" s="37"/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thickBot="1" x14ac:dyDescent="0.3">
      <c r="A22" s="1"/>
      <c r="B22" s="62">
        <f>EDATE(DATE(_Setup!$B$4,10,1),ROW()-ROW($B$11))</f>
        <v>46266</v>
      </c>
      <c r="C22" s="100" t="str">
        <f>IF(_Ov_Optometry!C22&lt;&gt;"",_Ov_Optometry!C22,IFERROR(SUM(_Sys_Portland_Optom!D22,_Sys_Vancouver_Optom!D22,_Sys_Salem_Optom!D22,_Sys_Bend_Optom!D22,Optometry!D22)/SUM(_Sys_Portland_Optom!C22,_Sys_Vancouver_Optom!C22,_Sys_Salem_Optom!C22,_Sys_Bend_Optom!C22,Optometry!C22),""))</f>
        <v/>
      </c>
      <c r="D22" s="101" t="str">
        <f>IF(_Ov_Optometry!D22&lt;&gt;"",_Ov_Optometry!D22,IFERROR(SUM(_Sys_Portland_Optom!G22,_Sys_Vancouver_Optom!G22,_Sys_Salem_Optom!G22,_Sys_Bend_Optom!G22,Optometry!G22)/SUM(_Sys_Portland_Optom!F22,_Sys_Vancouver_Optom!F22,_Sys_Salem_Optom!F22,_Sys_Bend_Optom!F22,Optometry!F22),""))</f>
        <v/>
      </c>
      <c r="E22" s="102"/>
      <c r="F22" s="103"/>
      <c r="G22" s="205"/>
      <c r="H22" s="233"/>
      <c r="I22" s="106"/>
      <c r="J22" s="107"/>
      <c r="K22" s="199"/>
      <c r="L22" s="109"/>
      <c r="M22" s="110"/>
      <c r="N22" s="108"/>
      <c r="O22" s="110"/>
      <c r="P22" s="111"/>
      <c r="Q22" s="112"/>
      <c r="R22" s="200"/>
      <c r="S22" s="114"/>
      <c r="T22" s="115"/>
      <c r="U22" s="116"/>
      <c r="V22" s="117"/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thickTop="1" x14ac:dyDescent="0.25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25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25">
      <c r="A74" s="171" t="s">
        <v>162</v>
      </c>
      <c r="B74" s="171" t="s">
        <v>163</v>
      </c>
      <c r="C74" s="171" t="s">
        <v>164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25">
      <c r="A75" s="230">
        <v>0.9</v>
      </c>
      <c r="B75" s="230">
        <v>0.9</v>
      </c>
      <c r="C75" s="230">
        <v>0.8</v>
      </c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25">
      <c r="A76" s="230">
        <v>0.9</v>
      </c>
      <c r="B76" s="230">
        <v>0.9</v>
      </c>
      <c r="C76" s="230">
        <v>0.8</v>
      </c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25">
      <c r="A77" s="230">
        <v>0.9</v>
      </c>
      <c r="B77" s="230">
        <v>0.9</v>
      </c>
      <c r="C77" s="230">
        <v>0.8</v>
      </c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25">
      <c r="A78" s="230">
        <v>0.9</v>
      </c>
      <c r="B78" s="230">
        <v>0.9</v>
      </c>
      <c r="C78" s="230">
        <v>0.8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25">
      <c r="A79" s="230">
        <v>0.9</v>
      </c>
      <c r="B79" s="230">
        <v>0.9</v>
      </c>
      <c r="C79" s="230">
        <v>0.8</v>
      </c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25">
      <c r="A80" s="230">
        <v>0.9</v>
      </c>
      <c r="B80" s="230">
        <v>0.9</v>
      </c>
      <c r="C80" s="230">
        <v>0.8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25">
      <c r="A81" s="230">
        <v>0.9</v>
      </c>
      <c r="B81" s="230">
        <v>0.9</v>
      </c>
      <c r="C81" s="230">
        <v>0.8</v>
      </c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25">
      <c r="A82" s="230">
        <v>0.9</v>
      </c>
      <c r="B82" s="230">
        <v>0.9</v>
      </c>
      <c r="C82" s="230">
        <v>0.8</v>
      </c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25">
      <c r="A83" s="230">
        <v>0.9</v>
      </c>
      <c r="B83" s="230">
        <v>0.9</v>
      </c>
      <c r="C83" s="230">
        <v>0.8</v>
      </c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25">
      <c r="A84" s="230">
        <v>0.9</v>
      </c>
      <c r="B84" s="230">
        <v>0.9</v>
      </c>
      <c r="C84" s="230">
        <v>0.8</v>
      </c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  <row r="85" spans="1:47" x14ac:dyDescent="0.25">
      <c r="A85" s="230">
        <v>0.9</v>
      </c>
      <c r="B85" s="230">
        <v>0.9</v>
      </c>
      <c r="C85" s="230">
        <v>0.8</v>
      </c>
    </row>
    <row r="86" spans="1:47" x14ac:dyDescent="0.25">
      <c r="A86" s="230">
        <v>0.9</v>
      </c>
      <c r="B86" s="230">
        <v>0.9</v>
      </c>
      <c r="C86" s="230">
        <v>0.8</v>
      </c>
    </row>
  </sheetData>
  <sheetProtection selectLockedCells="1" selectUnlockedCells="1"/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36"/>
  <sheetViews>
    <sheetView topLeftCell="B8" workbookViewId="0">
      <selection activeCell="U19" sqref="U19"/>
    </sheetView>
  </sheetViews>
  <sheetFormatPr defaultColWidth="10.7109375" defaultRowHeight="15" x14ac:dyDescent="0.25"/>
  <cols>
    <col min="1" max="1" width="3.28515625" hidden="1" customWidth="1"/>
  </cols>
  <sheetData>
    <row r="1" spans="1:53" hidden="1" x14ac:dyDescent="0.25">
      <c r="A1" s="287" t="s">
        <v>58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ht="14.25" customHeight="1" x14ac:dyDescent="0.25">
      <c r="C8" s="286" t="s">
        <v>59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9" spans="1:53" hidden="1" x14ac:dyDescent="0.25"/>
    <row r="10" spans="1:53" ht="6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P10" s="192" t="s">
        <v>75</v>
      </c>
      <c r="Q10" s="192" t="s">
        <v>76</v>
      </c>
      <c r="R10" s="192" t="s">
        <v>77</v>
      </c>
      <c r="S10" s="192" t="s">
        <v>78</v>
      </c>
      <c r="T10" s="192" t="s">
        <v>79</v>
      </c>
      <c r="U10" s="192" t="s">
        <v>80</v>
      </c>
      <c r="V10" s="192" t="s">
        <v>81</v>
      </c>
      <c r="W10" s="209" t="s">
        <v>82</v>
      </c>
      <c r="X10" s="209" t="s">
        <v>83</v>
      </c>
      <c r="Y10" s="209" t="s">
        <v>84</v>
      </c>
      <c r="Z10" s="209" t="s">
        <v>85</v>
      </c>
      <c r="AA10" s="209" t="s">
        <v>86</v>
      </c>
      <c r="AB10" s="209" t="s">
        <v>87</v>
      </c>
      <c r="AC10" s="209" t="s">
        <v>88</v>
      </c>
      <c r="AD10" s="209" t="s">
        <v>89</v>
      </c>
      <c r="AZ10" s="192" t="s">
        <v>75</v>
      </c>
      <c r="BA10" s="192" t="s">
        <v>76</v>
      </c>
    </row>
    <row r="11" spans="1:53" x14ac:dyDescent="0.25">
      <c r="B11" s="193">
        <f>EDATE(DATE(_Setup!$B$4,10,1),ROW()-ROW($B$11))</f>
        <v>45931</v>
      </c>
      <c r="C11" s="210">
        <v>60</v>
      </c>
      <c r="D11" s="210">
        <v>47</v>
      </c>
      <c r="E11" s="201">
        <f t="shared" ref="E11:E21" si="0">IFERROR(D11/C11,"")</f>
        <v>0.78333333333333333</v>
      </c>
      <c r="F11" s="210">
        <v>0</v>
      </c>
      <c r="G11" s="210">
        <v>0</v>
      </c>
      <c r="H11" s="201" t="str">
        <f t="shared" ref="H11:H21" si="1">IFERROR(G11/F11,"")</f>
        <v/>
      </c>
      <c r="I11" s="210"/>
      <c r="J11" s="210"/>
      <c r="K11" s="210"/>
      <c r="L11" s="213"/>
      <c r="M11" s="201" t="str">
        <f t="shared" ref="M11:M21" si="2">IFERROR(L11/K11,"")</f>
        <v/>
      </c>
      <c r="N11" s="210"/>
      <c r="O11" s="210"/>
      <c r="P11" s="211"/>
      <c r="Q11" s="211"/>
      <c r="R11" s="201" t="str">
        <f t="shared" ref="R11:R22" si="3">IFERROR(Q11/P11,"")</f>
        <v/>
      </c>
      <c r="S11" s="211"/>
      <c r="T11" s="211"/>
      <c r="U11" s="211">
        <v>31</v>
      </c>
      <c r="V11" s="211">
        <v>2</v>
      </c>
      <c r="W11" s="212"/>
      <c r="X11" s="212"/>
      <c r="Y11" s="212"/>
      <c r="Z11" s="212"/>
      <c r="AA11" s="212"/>
      <c r="AB11" s="212"/>
      <c r="AC11" s="212"/>
      <c r="AD11" s="212"/>
      <c r="AZ11" s="194"/>
      <c r="BA11" s="194"/>
    </row>
    <row r="12" spans="1:53" x14ac:dyDescent="0.25">
      <c r="B12" s="193">
        <f>EDATE(DATE(_Setup!$B$4,10,1),ROW()-ROW($B$11))</f>
        <v>45962</v>
      </c>
      <c r="C12" s="210">
        <v>27</v>
      </c>
      <c r="D12" s="210">
        <v>18</v>
      </c>
      <c r="E12" s="201">
        <f t="shared" si="0"/>
        <v>0.66666666666666663</v>
      </c>
      <c r="F12" s="210">
        <v>0</v>
      </c>
      <c r="G12" s="210">
        <v>0</v>
      </c>
      <c r="H12" s="201" t="str">
        <f t="shared" si="1"/>
        <v/>
      </c>
      <c r="I12" s="210"/>
      <c r="J12" s="210"/>
      <c r="K12" s="210"/>
      <c r="L12" s="213"/>
      <c r="M12" s="201" t="str">
        <f t="shared" si="2"/>
        <v/>
      </c>
      <c r="N12" s="210"/>
      <c r="O12" s="210"/>
      <c r="P12" s="211"/>
      <c r="Q12" s="211"/>
      <c r="R12" s="201" t="str">
        <f t="shared" si="3"/>
        <v/>
      </c>
      <c r="S12" s="211"/>
      <c r="T12" s="211"/>
      <c r="U12" s="211">
        <v>2.5</v>
      </c>
      <c r="V12" s="211">
        <v>0.75</v>
      </c>
      <c r="W12" s="212"/>
      <c r="X12" s="212"/>
      <c r="Y12" s="212"/>
      <c r="Z12" s="212"/>
      <c r="AA12" s="212"/>
      <c r="AB12" s="212"/>
      <c r="AC12" s="212"/>
      <c r="AD12" s="212"/>
      <c r="AZ12" s="194"/>
      <c r="BA12" s="194"/>
    </row>
    <row r="13" spans="1:53" x14ac:dyDescent="0.25">
      <c r="B13" s="193">
        <f>EDATE(DATE(_Setup!$B$4,10,1),ROW()-ROW($B$11))</f>
        <v>45992</v>
      </c>
      <c r="C13" s="210">
        <v>48</v>
      </c>
      <c r="D13" s="210">
        <v>35</v>
      </c>
      <c r="E13" s="201">
        <f t="shared" si="0"/>
        <v>0.72916666666666663</v>
      </c>
      <c r="F13" s="210">
        <v>0</v>
      </c>
      <c r="G13" s="210">
        <v>0</v>
      </c>
      <c r="H13" s="201" t="str">
        <f t="shared" si="1"/>
        <v/>
      </c>
      <c r="I13" s="210"/>
      <c r="J13" s="210"/>
      <c r="K13" s="210"/>
      <c r="L13" s="213"/>
      <c r="M13" s="201" t="str">
        <f t="shared" si="2"/>
        <v/>
      </c>
      <c r="N13" s="210"/>
      <c r="O13" s="210"/>
      <c r="P13" s="211"/>
      <c r="Q13" s="211"/>
      <c r="R13" s="201" t="str">
        <f t="shared" si="3"/>
        <v/>
      </c>
      <c r="S13" s="211"/>
      <c r="T13" s="211"/>
      <c r="U13" s="211">
        <v>33.75</v>
      </c>
      <c r="V13" s="211">
        <v>1.5</v>
      </c>
      <c r="W13" s="212"/>
      <c r="X13" s="212"/>
      <c r="Y13" s="212"/>
      <c r="Z13" s="212"/>
      <c r="AA13" s="212"/>
      <c r="AB13" s="212"/>
      <c r="AC13" s="212"/>
      <c r="AD13" s="212"/>
      <c r="AZ13" s="194"/>
      <c r="BA13" s="194"/>
    </row>
    <row r="14" spans="1:53" x14ac:dyDescent="0.25">
      <c r="B14" s="193">
        <f>EDATE(DATE(_Setup!$B$4,10,1),ROW()-ROW($B$11))</f>
        <v>46023</v>
      </c>
      <c r="C14" s="210">
        <v>56</v>
      </c>
      <c r="D14" s="210">
        <v>40</v>
      </c>
      <c r="E14" s="201">
        <f t="shared" si="0"/>
        <v>0.7142857142857143</v>
      </c>
      <c r="F14" s="210">
        <v>0</v>
      </c>
      <c r="G14" s="210">
        <v>0</v>
      </c>
      <c r="H14" s="201" t="str">
        <f t="shared" si="1"/>
        <v/>
      </c>
      <c r="I14" s="210"/>
      <c r="J14" s="210"/>
      <c r="K14" s="210"/>
      <c r="L14" s="213"/>
      <c r="M14" s="201" t="str">
        <f t="shared" si="2"/>
        <v/>
      </c>
      <c r="N14" s="210"/>
      <c r="O14" s="210"/>
      <c r="P14" s="211"/>
      <c r="Q14" s="211"/>
      <c r="R14" s="201" t="str">
        <f t="shared" si="3"/>
        <v/>
      </c>
      <c r="S14" s="211"/>
      <c r="T14" s="211"/>
      <c r="U14" s="211">
        <v>29.5</v>
      </c>
      <c r="V14" s="211">
        <v>0</v>
      </c>
      <c r="W14" s="212"/>
      <c r="X14" s="212"/>
      <c r="Y14" s="212"/>
      <c r="Z14" s="212"/>
      <c r="AA14" s="212"/>
      <c r="AB14" s="212"/>
      <c r="AC14" s="212"/>
      <c r="AD14" s="212"/>
      <c r="AZ14" s="194"/>
      <c r="BA14" s="194"/>
    </row>
    <row r="15" spans="1:53" x14ac:dyDescent="0.25">
      <c r="B15" s="193">
        <f>EDATE(DATE(_Setup!$B$4,10,1),ROW()-ROW($B$11))</f>
        <v>46054</v>
      </c>
      <c r="C15" s="210">
        <v>51</v>
      </c>
      <c r="D15" s="210">
        <v>44</v>
      </c>
      <c r="E15" s="201">
        <f t="shared" si="0"/>
        <v>0.86274509803921573</v>
      </c>
      <c r="F15" s="210">
        <v>2</v>
      </c>
      <c r="G15" s="210">
        <v>2</v>
      </c>
      <c r="H15" s="201">
        <f t="shared" si="1"/>
        <v>1</v>
      </c>
      <c r="I15" s="210"/>
      <c r="J15" s="210"/>
      <c r="K15" s="210"/>
      <c r="L15" s="213"/>
      <c r="M15" s="201" t="str">
        <f t="shared" si="2"/>
        <v/>
      </c>
      <c r="N15" s="210"/>
      <c r="O15" s="210"/>
      <c r="P15" s="211"/>
      <c r="Q15" s="211"/>
      <c r="R15" s="201" t="str">
        <f t="shared" si="3"/>
        <v/>
      </c>
      <c r="S15" s="211"/>
      <c r="T15" s="211"/>
      <c r="U15" s="211">
        <v>20.75</v>
      </c>
      <c r="V15" s="211">
        <v>2</v>
      </c>
      <c r="W15" s="212"/>
      <c r="X15" s="212"/>
      <c r="Y15" s="212"/>
      <c r="Z15" s="212"/>
      <c r="AA15" s="212"/>
      <c r="AB15" s="212"/>
      <c r="AC15" s="212"/>
      <c r="AD15" s="212"/>
      <c r="AZ15" s="194"/>
      <c r="BA15" s="194"/>
    </row>
    <row r="16" spans="1:53" x14ac:dyDescent="0.25">
      <c r="B16" s="193">
        <f>EDATE(DATE(_Setup!$B$4,10,1),ROW()-ROW($B$11))</f>
        <v>46082</v>
      </c>
      <c r="C16" s="210">
        <v>69</v>
      </c>
      <c r="D16" s="210">
        <v>62</v>
      </c>
      <c r="E16" s="201">
        <f t="shared" si="0"/>
        <v>0.89855072463768115</v>
      </c>
      <c r="F16" s="210">
        <v>0</v>
      </c>
      <c r="G16" s="210">
        <v>0</v>
      </c>
      <c r="H16" s="201" t="str">
        <f t="shared" si="1"/>
        <v/>
      </c>
      <c r="I16" s="210"/>
      <c r="J16" s="210"/>
      <c r="K16" s="210"/>
      <c r="L16" s="213"/>
      <c r="M16" s="201" t="str">
        <f t="shared" si="2"/>
        <v/>
      </c>
      <c r="N16" s="210"/>
      <c r="O16" s="210"/>
      <c r="P16" s="211"/>
      <c r="Q16" s="211"/>
      <c r="R16" s="201" t="str">
        <f t="shared" si="3"/>
        <v/>
      </c>
      <c r="S16" s="211"/>
      <c r="T16" s="211"/>
      <c r="U16" s="211">
        <v>31.5</v>
      </c>
      <c r="V16" s="211">
        <v>0.5</v>
      </c>
      <c r="W16" s="212"/>
      <c r="X16" s="212"/>
      <c r="Y16" s="212"/>
      <c r="Z16" s="212"/>
      <c r="AA16" s="212"/>
      <c r="AB16" s="212"/>
      <c r="AC16" s="212"/>
      <c r="AD16" s="212"/>
      <c r="AZ16" s="194"/>
      <c r="BA16" s="194"/>
    </row>
    <row r="17" spans="2:53" x14ac:dyDescent="0.25">
      <c r="B17" s="193">
        <f>EDATE(DATE(_Setup!$B$4,10,1),ROW()-ROW($B$11))</f>
        <v>46113</v>
      </c>
      <c r="C17" s="210">
        <v>87</v>
      </c>
      <c r="D17" s="210">
        <v>84</v>
      </c>
      <c r="E17" s="201">
        <f t="shared" si="0"/>
        <v>0.96551724137931039</v>
      </c>
      <c r="F17" s="210">
        <v>0</v>
      </c>
      <c r="G17" s="210">
        <v>0</v>
      </c>
      <c r="H17" s="201" t="str">
        <f t="shared" si="1"/>
        <v/>
      </c>
      <c r="I17" s="210"/>
      <c r="J17" s="210"/>
      <c r="K17" s="210"/>
      <c r="L17" s="213"/>
      <c r="M17" s="201" t="str">
        <f t="shared" si="2"/>
        <v/>
      </c>
      <c r="N17" s="210"/>
      <c r="O17" s="210"/>
      <c r="P17" s="211"/>
      <c r="Q17" s="211"/>
      <c r="R17" s="201" t="str">
        <f t="shared" si="3"/>
        <v/>
      </c>
      <c r="S17" s="211"/>
      <c r="T17" s="211"/>
      <c r="U17" s="211">
        <v>29.5</v>
      </c>
      <c r="V17" s="211">
        <v>5</v>
      </c>
      <c r="W17" s="212"/>
      <c r="X17" s="212"/>
      <c r="Y17" s="212"/>
      <c r="Z17" s="212"/>
      <c r="AA17" s="212"/>
      <c r="AB17" s="212"/>
      <c r="AC17" s="212"/>
      <c r="AD17" s="212"/>
      <c r="AZ17" s="194"/>
      <c r="BA17" s="194"/>
    </row>
    <row r="18" spans="2:53" x14ac:dyDescent="0.25">
      <c r="B18" s="193">
        <f>EDATE(DATE(_Setup!$B$4,10,1),ROW()-ROW($B$11))</f>
        <v>46143</v>
      </c>
      <c r="C18" s="210">
        <v>95</v>
      </c>
      <c r="D18" s="210">
        <v>92</v>
      </c>
      <c r="E18" s="201">
        <f t="shared" si="0"/>
        <v>0.96842105263157896</v>
      </c>
      <c r="F18" s="210">
        <v>0</v>
      </c>
      <c r="G18" s="210">
        <v>0</v>
      </c>
      <c r="H18" s="201" t="str">
        <f t="shared" si="1"/>
        <v/>
      </c>
      <c r="I18" s="210"/>
      <c r="J18" s="210">
        <v>15</v>
      </c>
      <c r="K18" s="210"/>
      <c r="L18" s="213"/>
      <c r="M18" s="201" t="str">
        <f t="shared" si="2"/>
        <v/>
      </c>
      <c r="N18" s="210"/>
      <c r="O18" s="210"/>
      <c r="P18" s="211"/>
      <c r="Q18" s="211"/>
      <c r="R18" s="201" t="str">
        <f t="shared" si="3"/>
        <v/>
      </c>
      <c r="S18" s="211"/>
      <c r="T18" s="211"/>
      <c r="U18" s="211">
        <v>30.5</v>
      </c>
      <c r="V18" s="211">
        <v>0</v>
      </c>
      <c r="W18" s="212"/>
      <c r="X18" s="212"/>
      <c r="Y18" s="212"/>
      <c r="Z18" s="212"/>
      <c r="AA18" s="212"/>
      <c r="AB18" s="212"/>
      <c r="AC18" s="212"/>
      <c r="AD18" s="212"/>
      <c r="AZ18" s="194"/>
      <c r="BA18" s="194"/>
    </row>
    <row r="19" spans="2:53" x14ac:dyDescent="0.25">
      <c r="B19" s="193">
        <f>EDATE(DATE(_Setup!$B$4,10,1),ROW()-ROW($B$11))</f>
        <v>46174</v>
      </c>
      <c r="C19" s="210">
        <v>95</v>
      </c>
      <c r="D19" s="210">
        <v>92</v>
      </c>
      <c r="E19" s="201">
        <f t="shared" si="0"/>
        <v>0.96842105263157896</v>
      </c>
      <c r="F19" s="210">
        <v>2</v>
      </c>
      <c r="G19" s="210">
        <v>2</v>
      </c>
      <c r="H19" s="201">
        <f t="shared" si="1"/>
        <v>1</v>
      </c>
      <c r="I19" s="210"/>
      <c r="J19" s="210"/>
      <c r="K19" s="210"/>
      <c r="L19" s="213"/>
      <c r="M19" s="201" t="str">
        <f t="shared" si="2"/>
        <v/>
      </c>
      <c r="N19" s="210"/>
      <c r="O19" s="210"/>
      <c r="P19" s="211"/>
      <c r="Q19" s="211"/>
      <c r="R19" s="201" t="str">
        <f t="shared" si="3"/>
        <v/>
      </c>
      <c r="S19" s="211"/>
      <c r="T19" s="211"/>
      <c r="U19" s="211">
        <v>29</v>
      </c>
      <c r="V19" s="211">
        <v>0</v>
      </c>
      <c r="W19" s="212"/>
      <c r="X19" s="212"/>
      <c r="Y19" s="212"/>
      <c r="Z19" s="212"/>
      <c r="AA19" s="212"/>
      <c r="AB19" s="212"/>
      <c r="AC19" s="212"/>
      <c r="AD19" s="212"/>
      <c r="AZ19" s="194"/>
      <c r="BA19" s="194"/>
    </row>
    <row r="20" spans="2:53" x14ac:dyDescent="0.25">
      <c r="B20" s="193">
        <f>EDATE(DATE(_Setup!$B$4,10,1),ROW()-ROW($B$11))</f>
        <v>46204</v>
      </c>
      <c r="C20" s="210"/>
      <c r="D20" s="210"/>
      <c r="E20" s="201" t="str">
        <f t="shared" si="0"/>
        <v/>
      </c>
      <c r="F20" s="210"/>
      <c r="G20" s="210"/>
      <c r="H20" s="201" t="str">
        <f t="shared" si="1"/>
        <v/>
      </c>
      <c r="I20" s="210"/>
      <c r="J20" s="210"/>
      <c r="K20" s="210"/>
      <c r="L20" s="213"/>
      <c r="M20" s="201" t="str">
        <f t="shared" si="2"/>
        <v/>
      </c>
      <c r="N20" s="210"/>
      <c r="O20" s="210"/>
      <c r="P20" s="211"/>
      <c r="Q20" s="211"/>
      <c r="R20" s="201" t="str">
        <f t="shared" si="3"/>
        <v/>
      </c>
      <c r="S20" s="211"/>
      <c r="T20" s="211"/>
      <c r="U20" s="211"/>
      <c r="V20" s="211"/>
      <c r="W20" s="212"/>
      <c r="X20" s="212"/>
      <c r="Y20" s="212"/>
      <c r="Z20" s="212"/>
      <c r="AA20" s="212"/>
      <c r="AB20" s="212"/>
      <c r="AC20" s="212"/>
      <c r="AD20" s="212"/>
      <c r="AZ20" s="194"/>
      <c r="BA20" s="194"/>
    </row>
    <row r="21" spans="2:53" x14ac:dyDescent="0.25">
      <c r="B21" s="193">
        <f>EDATE(DATE(_Setup!$B$4,10,1),ROW()-ROW($B$11))</f>
        <v>46235</v>
      </c>
      <c r="C21" s="210"/>
      <c r="D21" s="210"/>
      <c r="E21" s="201" t="str">
        <f t="shared" si="0"/>
        <v/>
      </c>
      <c r="F21" s="210"/>
      <c r="G21" s="210"/>
      <c r="H21" s="201" t="str">
        <f t="shared" si="1"/>
        <v/>
      </c>
      <c r="I21" s="210"/>
      <c r="J21" s="210"/>
      <c r="K21" s="210"/>
      <c r="L21" s="213"/>
      <c r="M21" s="201" t="str">
        <f t="shared" si="2"/>
        <v/>
      </c>
      <c r="N21" s="210"/>
      <c r="O21" s="210"/>
      <c r="P21" s="211"/>
      <c r="Q21" s="211"/>
      <c r="R21" s="201" t="str">
        <f t="shared" si="3"/>
        <v/>
      </c>
      <c r="S21" s="211"/>
      <c r="T21" s="211"/>
      <c r="U21" s="211"/>
      <c r="V21" s="211"/>
      <c r="W21" s="212"/>
      <c r="X21" s="212"/>
      <c r="Y21" s="212"/>
      <c r="Z21" s="212"/>
      <c r="AA21" s="212"/>
      <c r="AB21" s="212"/>
      <c r="AC21" s="212"/>
      <c r="AD21" s="212"/>
      <c r="AZ21" s="194"/>
      <c r="BA21" s="194"/>
    </row>
    <row r="22" spans="2:53" x14ac:dyDescent="0.25">
      <c r="B22" s="193">
        <f>EDATE(DATE(_Setup!$B$4,10,1),ROW()-ROW($B$11))</f>
        <v>46266</v>
      </c>
      <c r="C22" s="210"/>
      <c r="D22" s="210"/>
      <c r="E22" s="201" t="str">
        <f t="shared" ref="E22" si="4">IFERROR(D22/C22,"")</f>
        <v/>
      </c>
      <c r="F22" s="210"/>
      <c r="G22" s="210"/>
      <c r="H22" s="201" t="str">
        <f t="shared" ref="H22" si="5">IFERROR(G22/F22,"")</f>
        <v/>
      </c>
      <c r="I22" s="210"/>
      <c r="J22" s="210"/>
      <c r="K22" s="210"/>
      <c r="L22" s="213"/>
      <c r="M22" s="201" t="str">
        <f t="shared" ref="M22" si="6">IFERROR(L22/K22,"")</f>
        <v/>
      </c>
      <c r="N22" s="210"/>
      <c r="O22" s="210"/>
      <c r="P22" s="211"/>
      <c r="Q22" s="211"/>
      <c r="R22" s="201" t="str">
        <f t="shared" si="3"/>
        <v/>
      </c>
      <c r="S22" s="211"/>
      <c r="T22" s="211"/>
      <c r="U22" s="211"/>
      <c r="V22" s="211"/>
      <c r="W22" s="212"/>
      <c r="X22" s="212"/>
      <c r="Y22" s="212"/>
      <c r="Z22" s="212"/>
      <c r="AA22" s="212"/>
      <c r="AB22" s="212"/>
      <c r="AC22" s="212"/>
      <c r="AD22" s="212"/>
      <c r="AZ22" s="194"/>
      <c r="BA22" s="194"/>
    </row>
    <row r="23" spans="2:53" x14ac:dyDescent="0.25">
      <c r="C23" s="283" t="s">
        <v>60</v>
      </c>
      <c r="D23" s="284"/>
      <c r="E23" s="284"/>
      <c r="F23" s="284"/>
      <c r="G23" s="284"/>
      <c r="H23" s="284"/>
      <c r="I23" s="284"/>
      <c r="J23" s="284"/>
      <c r="K23" s="284"/>
      <c r="L23" s="284"/>
      <c r="M23" s="284"/>
      <c r="N23" s="284"/>
      <c r="O23" s="285"/>
    </row>
    <row r="24" spans="2:53" ht="30" x14ac:dyDescent="0.25">
      <c r="B24" s="192" t="s">
        <v>61</v>
      </c>
      <c r="C24" s="192" t="s">
        <v>62</v>
      </c>
      <c r="D24" s="192" t="s">
        <v>63</v>
      </c>
      <c r="E24" s="192" t="s">
        <v>64</v>
      </c>
      <c r="F24" s="192" t="s">
        <v>65</v>
      </c>
      <c r="G24" s="192" t="s">
        <v>66</v>
      </c>
      <c r="H24" s="192" t="s">
        <v>67</v>
      </c>
      <c r="I24" s="192" t="s">
        <v>68</v>
      </c>
      <c r="J24" s="192" t="s">
        <v>69</v>
      </c>
      <c r="K24" s="192" t="s">
        <v>70</v>
      </c>
      <c r="L24" s="192" t="s">
        <v>71</v>
      </c>
      <c r="M24" s="192" t="s">
        <v>72</v>
      </c>
      <c r="N24" s="192" t="s">
        <v>73</v>
      </c>
      <c r="O24" s="192" t="s">
        <v>74</v>
      </c>
    </row>
    <row r="25" spans="2:53" x14ac:dyDescent="0.25">
      <c r="B25" s="193">
        <f>EDATE(DATE(_Setup!$B$4,10,1),ROW()-ROW($B$25))</f>
        <v>45931</v>
      </c>
      <c r="C25" s="210">
        <v>62</v>
      </c>
      <c r="D25" s="210">
        <v>22</v>
      </c>
      <c r="E25" s="201">
        <f t="shared" ref="E25:E36" si="7">IFERROR(D25/C25,"")</f>
        <v>0.35483870967741937</v>
      </c>
      <c r="F25" s="210">
        <v>2</v>
      </c>
      <c r="G25" s="210">
        <v>2</v>
      </c>
      <c r="H25" s="201">
        <f t="shared" ref="H25:H36" si="8">IFERROR(G25/F25,"")</f>
        <v>1</v>
      </c>
      <c r="I25" s="210"/>
      <c r="J25" s="210"/>
      <c r="K25" s="210"/>
      <c r="L25" s="213"/>
      <c r="M25" s="201" t="str">
        <f t="shared" ref="M25:M36" si="9">IFERROR(L25/K25,"")</f>
        <v/>
      </c>
      <c r="N25" s="210"/>
      <c r="O25" s="210"/>
    </row>
    <row r="26" spans="2:53" x14ac:dyDescent="0.25">
      <c r="B26" s="193">
        <f>EDATE(DATE(_Setup!$B$4,10,1),ROW()-ROW($B$25))</f>
        <v>45962</v>
      </c>
      <c r="C26" s="210">
        <v>47</v>
      </c>
      <c r="D26" s="210">
        <v>23</v>
      </c>
      <c r="E26" s="201">
        <f t="shared" si="7"/>
        <v>0.48936170212765956</v>
      </c>
      <c r="F26" s="210">
        <v>0</v>
      </c>
      <c r="G26" s="210">
        <v>0</v>
      </c>
      <c r="H26" s="201" t="str">
        <f t="shared" si="8"/>
        <v/>
      </c>
      <c r="I26" s="210"/>
      <c r="J26" s="210"/>
      <c r="K26" s="210"/>
      <c r="L26" s="213"/>
      <c r="M26" s="201" t="str">
        <f t="shared" si="9"/>
        <v/>
      </c>
      <c r="N26" s="210"/>
      <c r="O26" s="210"/>
    </row>
    <row r="27" spans="2:53" x14ac:dyDescent="0.25">
      <c r="B27" s="193">
        <f>EDATE(DATE(_Setup!$B$4,10,1),ROW()-ROW($B$25))</f>
        <v>45992</v>
      </c>
      <c r="C27" s="210">
        <v>63</v>
      </c>
      <c r="D27" s="210">
        <v>22</v>
      </c>
      <c r="E27" s="201">
        <f t="shared" si="7"/>
        <v>0.34920634920634919</v>
      </c>
      <c r="F27" s="210">
        <v>1</v>
      </c>
      <c r="G27" s="210">
        <v>1</v>
      </c>
      <c r="H27" s="201">
        <f t="shared" si="8"/>
        <v>1</v>
      </c>
      <c r="I27" s="210"/>
      <c r="J27" s="210"/>
      <c r="K27" s="210"/>
      <c r="L27" s="213"/>
      <c r="M27" s="201" t="str">
        <f t="shared" si="9"/>
        <v/>
      </c>
      <c r="N27" s="210"/>
      <c r="O27" s="210"/>
    </row>
    <row r="28" spans="2:53" x14ac:dyDescent="0.25">
      <c r="B28" s="193">
        <f>EDATE(DATE(_Setup!$B$4,10,1),ROW()-ROW($B$25))</f>
        <v>46023</v>
      </c>
      <c r="C28" s="210">
        <v>39</v>
      </c>
      <c r="D28" s="210">
        <v>14</v>
      </c>
      <c r="E28" s="201">
        <f t="shared" si="7"/>
        <v>0.35897435897435898</v>
      </c>
      <c r="F28" s="210">
        <v>1</v>
      </c>
      <c r="G28" s="210">
        <v>1</v>
      </c>
      <c r="H28" s="201">
        <f t="shared" si="8"/>
        <v>1</v>
      </c>
      <c r="I28" s="210"/>
      <c r="J28" s="210"/>
      <c r="K28" s="210"/>
      <c r="L28" s="213"/>
      <c r="M28" s="201" t="str">
        <f t="shared" si="9"/>
        <v/>
      </c>
      <c r="N28" s="210"/>
      <c r="O28" s="210"/>
    </row>
    <row r="29" spans="2:53" x14ac:dyDescent="0.25">
      <c r="B29" s="193">
        <f>EDATE(DATE(_Setup!$B$4,10,1),ROW()-ROW($B$25))</f>
        <v>46054</v>
      </c>
      <c r="C29" s="210">
        <v>57</v>
      </c>
      <c r="D29" s="210">
        <v>22</v>
      </c>
      <c r="E29" s="201">
        <f t="shared" si="7"/>
        <v>0.38596491228070173</v>
      </c>
      <c r="F29" s="210">
        <v>0</v>
      </c>
      <c r="G29" s="210">
        <v>0</v>
      </c>
      <c r="H29" s="201" t="str">
        <f t="shared" si="8"/>
        <v/>
      </c>
      <c r="I29" s="210"/>
      <c r="J29" s="210"/>
      <c r="K29" s="210"/>
      <c r="L29" s="213"/>
      <c r="M29" s="201" t="str">
        <f t="shared" si="9"/>
        <v/>
      </c>
      <c r="N29" s="210"/>
      <c r="O29" s="210"/>
    </row>
    <row r="30" spans="2:53" x14ac:dyDescent="0.25">
      <c r="B30" s="193">
        <f>EDATE(DATE(_Setup!$B$4,10,1),ROW()-ROW($B$25))</f>
        <v>46082</v>
      </c>
      <c r="C30" s="210">
        <v>74</v>
      </c>
      <c r="D30" s="210">
        <v>32</v>
      </c>
      <c r="E30" s="201">
        <f t="shared" si="7"/>
        <v>0.43243243243243246</v>
      </c>
      <c r="F30" s="210">
        <v>1</v>
      </c>
      <c r="G30" s="210">
        <v>1</v>
      </c>
      <c r="H30" s="201">
        <f t="shared" si="8"/>
        <v>1</v>
      </c>
      <c r="I30" s="210"/>
      <c r="J30" s="210"/>
      <c r="K30" s="210"/>
      <c r="L30" s="213"/>
      <c r="M30" s="201" t="str">
        <f t="shared" si="9"/>
        <v/>
      </c>
      <c r="N30" s="210"/>
      <c r="O30" s="210"/>
    </row>
    <row r="31" spans="2:53" x14ac:dyDescent="0.25">
      <c r="B31" s="193">
        <f>EDATE(DATE(_Setup!$B$4,10,1),ROW()-ROW($B$25))</f>
        <v>46113</v>
      </c>
      <c r="C31" s="210">
        <v>57</v>
      </c>
      <c r="D31" s="210">
        <v>49</v>
      </c>
      <c r="E31" s="201">
        <f t="shared" si="7"/>
        <v>0.85964912280701755</v>
      </c>
      <c r="F31" s="210">
        <v>1</v>
      </c>
      <c r="G31" s="210">
        <v>1</v>
      </c>
      <c r="H31" s="201">
        <f t="shared" si="8"/>
        <v>1</v>
      </c>
      <c r="I31" s="210"/>
      <c r="J31" s="210"/>
      <c r="K31" s="210"/>
      <c r="L31" s="213"/>
      <c r="M31" s="201" t="str">
        <f t="shared" si="9"/>
        <v/>
      </c>
      <c r="N31" s="210"/>
      <c r="O31" s="210"/>
    </row>
    <row r="32" spans="2:53" x14ac:dyDescent="0.25">
      <c r="B32" s="193">
        <f>EDATE(DATE(_Setup!$B$4,10,1),ROW()-ROW($B$25))</f>
        <v>46143</v>
      </c>
      <c r="C32" s="210">
        <v>62</v>
      </c>
      <c r="D32" s="210">
        <v>56</v>
      </c>
      <c r="E32" s="201">
        <f t="shared" si="7"/>
        <v>0.90322580645161288</v>
      </c>
      <c r="F32" s="210">
        <v>2</v>
      </c>
      <c r="G32" s="210">
        <v>2</v>
      </c>
      <c r="H32" s="201">
        <f t="shared" si="8"/>
        <v>1</v>
      </c>
      <c r="I32" s="210"/>
      <c r="J32" s="210"/>
      <c r="K32" s="210"/>
      <c r="L32" s="213"/>
      <c r="M32" s="201" t="str">
        <f t="shared" si="9"/>
        <v/>
      </c>
      <c r="N32" s="210"/>
      <c r="O32" s="210"/>
    </row>
    <row r="33" spans="2:15" x14ac:dyDescent="0.25">
      <c r="B33" s="193">
        <f>EDATE(DATE(_Setup!$B$4,10,1),ROW()-ROW($B$25))</f>
        <v>46174</v>
      </c>
      <c r="C33" s="210">
        <v>47</v>
      </c>
      <c r="D33" s="210">
        <v>38</v>
      </c>
      <c r="E33" s="201">
        <f t="shared" si="7"/>
        <v>0.80851063829787229</v>
      </c>
      <c r="F33" s="210">
        <v>0</v>
      </c>
      <c r="G33" s="210">
        <v>0</v>
      </c>
      <c r="H33" s="201" t="str">
        <f t="shared" si="8"/>
        <v/>
      </c>
      <c r="I33" s="210"/>
      <c r="J33" s="210"/>
      <c r="K33" s="210"/>
      <c r="L33" s="213"/>
      <c r="M33" s="201" t="str">
        <f t="shared" si="9"/>
        <v/>
      </c>
      <c r="N33" s="210"/>
      <c r="O33" s="210"/>
    </row>
    <row r="34" spans="2:15" x14ac:dyDescent="0.25">
      <c r="B34" s="193">
        <f>EDATE(DATE(_Setup!$B$4,10,1),ROW()-ROW($B$25))</f>
        <v>46204</v>
      </c>
      <c r="C34" s="210"/>
      <c r="D34" s="210"/>
      <c r="E34" s="201" t="str">
        <f t="shared" si="7"/>
        <v/>
      </c>
      <c r="F34" s="210"/>
      <c r="G34" s="210"/>
      <c r="H34" s="201" t="str">
        <f t="shared" si="8"/>
        <v/>
      </c>
      <c r="I34" s="210"/>
      <c r="J34" s="210"/>
      <c r="K34" s="210"/>
      <c r="L34" s="213"/>
      <c r="M34" s="201" t="str">
        <f t="shared" si="9"/>
        <v/>
      </c>
      <c r="N34" s="210"/>
      <c r="O34" s="210"/>
    </row>
    <row r="35" spans="2:15" x14ac:dyDescent="0.25">
      <c r="B35" s="193">
        <f>EDATE(DATE(_Setup!$B$4,10,1),ROW()-ROW($B$25))</f>
        <v>46235</v>
      </c>
      <c r="C35" s="210"/>
      <c r="D35" s="210"/>
      <c r="E35" s="201" t="str">
        <f t="shared" si="7"/>
        <v/>
      </c>
      <c r="F35" s="210"/>
      <c r="G35" s="210"/>
      <c r="H35" s="201" t="str">
        <f t="shared" si="8"/>
        <v/>
      </c>
      <c r="I35" s="210"/>
      <c r="J35" s="210"/>
      <c r="K35" s="210"/>
      <c r="L35" s="213"/>
      <c r="M35" s="201" t="str">
        <f t="shared" si="9"/>
        <v/>
      </c>
      <c r="N35" s="210"/>
      <c r="O35" s="210"/>
    </row>
    <row r="36" spans="2:15" x14ac:dyDescent="0.25">
      <c r="B36" s="193">
        <f>EDATE(DATE(_Setup!$B$4,10,1),ROW()-ROW($B$25))</f>
        <v>46266</v>
      </c>
      <c r="C36" s="210"/>
      <c r="D36" s="210"/>
      <c r="E36" s="201" t="str">
        <f t="shared" si="7"/>
        <v/>
      </c>
      <c r="F36" s="210"/>
      <c r="G36" s="210"/>
      <c r="H36" s="201" t="str">
        <f t="shared" si="8"/>
        <v/>
      </c>
      <c r="I36" s="210"/>
      <c r="J36" s="210"/>
      <c r="K36" s="210"/>
      <c r="L36" s="213"/>
      <c r="M36" s="201" t="str">
        <f t="shared" si="9"/>
        <v/>
      </c>
      <c r="N36" s="210"/>
      <c r="O36" s="210"/>
    </row>
  </sheetData>
  <sheetProtection sheet="1" objects="1" scenarios="1" selectLockedCells="1"/>
  <mergeCells count="3">
    <mergeCell ref="C23:O23"/>
    <mergeCell ref="C8:O8"/>
    <mergeCell ref="A1:K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A36"/>
  <sheetViews>
    <sheetView topLeftCell="B8" workbookViewId="0">
      <selection activeCell="V19" sqref="V19"/>
    </sheetView>
  </sheetViews>
  <sheetFormatPr defaultColWidth="10.7109375" defaultRowHeight="15" x14ac:dyDescent="0.25"/>
  <cols>
    <col min="1" max="1" width="3.28515625" hidden="1" customWidth="1"/>
  </cols>
  <sheetData>
    <row r="1" spans="1:53" hidden="1" x14ac:dyDescent="0.25">
      <c r="A1" s="288" t="s">
        <v>90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x14ac:dyDescent="0.25">
      <c r="C8" s="286" t="s">
        <v>59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9" spans="1:53" hidden="1" x14ac:dyDescent="0.25"/>
    <row r="10" spans="1:53" ht="6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P10" s="192" t="s">
        <v>75</v>
      </c>
      <c r="Q10" s="192" t="s">
        <v>76</v>
      </c>
      <c r="R10" s="192" t="s">
        <v>77</v>
      </c>
      <c r="S10" s="192" t="s">
        <v>78</v>
      </c>
      <c r="T10" s="192" t="s">
        <v>79</v>
      </c>
      <c r="U10" s="192" t="s">
        <v>80</v>
      </c>
      <c r="V10" s="192" t="s">
        <v>81</v>
      </c>
      <c r="W10" s="209" t="s">
        <v>82</v>
      </c>
      <c r="X10" s="209" t="s">
        <v>83</v>
      </c>
      <c r="Y10" s="209" t="s">
        <v>84</v>
      </c>
      <c r="Z10" s="209" t="s">
        <v>85</v>
      </c>
      <c r="AA10" s="209" t="s">
        <v>86</v>
      </c>
      <c r="AB10" s="209" t="s">
        <v>87</v>
      </c>
      <c r="AC10" s="209" t="s">
        <v>88</v>
      </c>
      <c r="AD10" s="209" t="s">
        <v>89</v>
      </c>
      <c r="AZ10" s="192" t="s">
        <v>75</v>
      </c>
      <c r="BA10" s="192" t="s">
        <v>76</v>
      </c>
    </row>
    <row r="11" spans="1:53" x14ac:dyDescent="0.25">
      <c r="B11" s="193">
        <f>EDATE(DATE(_Setup!$B$4,10,1),ROW()-ROW($B$11))</f>
        <v>45931</v>
      </c>
      <c r="C11" s="210">
        <v>11</v>
      </c>
      <c r="D11" s="210">
        <v>5</v>
      </c>
      <c r="E11" s="201">
        <f t="shared" ref="E11:E22" si="0">IFERROR(D11/C11,"")</f>
        <v>0.45454545454545453</v>
      </c>
      <c r="F11" s="210">
        <v>0</v>
      </c>
      <c r="G11" s="210">
        <v>0</v>
      </c>
      <c r="H11" s="201" t="str">
        <f t="shared" ref="H11:H22" si="1">IFERROR(G11/F11,"")</f>
        <v/>
      </c>
      <c r="I11" s="210">
        <v>0</v>
      </c>
      <c r="J11" s="210">
        <v>0</v>
      </c>
      <c r="K11" s="210"/>
      <c r="L11" s="210"/>
      <c r="M11" s="201" t="str">
        <f t="shared" ref="M11:M22" si="2">IFERROR(L11/K11,"")</f>
        <v/>
      </c>
      <c r="N11" s="210"/>
      <c r="O11" s="210"/>
      <c r="P11" s="211">
        <v>4</v>
      </c>
      <c r="Q11" s="211">
        <v>0</v>
      </c>
      <c r="R11" s="201">
        <f t="shared" ref="R11:R22" si="3">IFERROR(Q11/P11,"")</f>
        <v>0</v>
      </c>
      <c r="S11" s="211">
        <v>0</v>
      </c>
      <c r="T11" s="211"/>
      <c r="U11" s="211">
        <v>1</v>
      </c>
      <c r="V11" s="211">
        <v>0</v>
      </c>
      <c r="W11" s="212"/>
      <c r="X11" s="212"/>
      <c r="Y11" s="212"/>
      <c r="Z11" s="212"/>
      <c r="AA11" s="212"/>
      <c r="AB11" s="212"/>
      <c r="AC11" s="212"/>
      <c r="AD11" s="212"/>
      <c r="AZ11" s="194"/>
      <c r="BA11" s="194"/>
    </row>
    <row r="12" spans="1:53" x14ac:dyDescent="0.25">
      <c r="B12" s="193">
        <f>EDATE(DATE(_Setup!$B$4,10,1),ROW()-ROW($B$11))</f>
        <v>45962</v>
      </c>
      <c r="C12" s="210">
        <v>10</v>
      </c>
      <c r="D12" s="210">
        <v>8</v>
      </c>
      <c r="E12" s="201">
        <f t="shared" si="0"/>
        <v>0.8</v>
      </c>
      <c r="F12" s="210">
        <v>0</v>
      </c>
      <c r="G12" s="210">
        <v>0</v>
      </c>
      <c r="H12" s="201" t="str">
        <f t="shared" si="1"/>
        <v/>
      </c>
      <c r="I12" s="210">
        <v>0</v>
      </c>
      <c r="J12" s="210">
        <v>0</v>
      </c>
      <c r="K12" s="210"/>
      <c r="L12" s="210"/>
      <c r="M12" s="201" t="str">
        <f t="shared" si="2"/>
        <v/>
      </c>
      <c r="N12" s="210"/>
      <c r="O12" s="210"/>
      <c r="P12" s="211">
        <v>4</v>
      </c>
      <c r="Q12" s="211">
        <v>0</v>
      </c>
      <c r="R12" s="201">
        <f t="shared" si="3"/>
        <v>0</v>
      </c>
      <c r="S12" s="211">
        <v>0</v>
      </c>
      <c r="T12" s="211"/>
      <c r="U12" s="211">
        <v>2.5</v>
      </c>
      <c r="V12" s="211">
        <v>0</v>
      </c>
      <c r="W12" s="212"/>
      <c r="X12" s="212"/>
      <c r="Y12" s="212"/>
      <c r="Z12" s="212"/>
      <c r="AA12" s="212"/>
      <c r="AB12" s="212"/>
      <c r="AC12" s="212"/>
      <c r="AD12" s="212"/>
      <c r="AZ12" s="194"/>
      <c r="BA12" s="194"/>
    </row>
    <row r="13" spans="1:53" x14ac:dyDescent="0.25">
      <c r="B13" s="193">
        <f>EDATE(DATE(_Setup!$B$4,10,1),ROW()-ROW($B$11))</f>
        <v>45992</v>
      </c>
      <c r="C13" s="210">
        <v>4</v>
      </c>
      <c r="D13" s="210">
        <v>3</v>
      </c>
      <c r="E13" s="201">
        <f t="shared" si="0"/>
        <v>0.75</v>
      </c>
      <c r="F13" s="210">
        <v>0</v>
      </c>
      <c r="G13" s="210">
        <v>0</v>
      </c>
      <c r="H13" s="201" t="str">
        <f t="shared" si="1"/>
        <v/>
      </c>
      <c r="I13" s="210">
        <v>1</v>
      </c>
      <c r="J13" s="210">
        <v>19</v>
      </c>
      <c r="K13" s="210"/>
      <c r="L13" s="210"/>
      <c r="M13" s="201" t="str">
        <f t="shared" si="2"/>
        <v/>
      </c>
      <c r="N13" s="210"/>
      <c r="O13" s="210"/>
      <c r="P13" s="211">
        <v>4</v>
      </c>
      <c r="Q13" s="211">
        <v>0</v>
      </c>
      <c r="R13" s="201">
        <f t="shared" si="3"/>
        <v>0</v>
      </c>
      <c r="S13" s="211">
        <v>0</v>
      </c>
      <c r="T13" s="211"/>
      <c r="U13" s="211">
        <v>0</v>
      </c>
      <c r="V13" s="211">
        <v>0</v>
      </c>
      <c r="W13" s="212"/>
      <c r="X13" s="212"/>
      <c r="Y13" s="212"/>
      <c r="Z13" s="212"/>
      <c r="AA13" s="212"/>
      <c r="AB13" s="212"/>
      <c r="AC13" s="212"/>
      <c r="AD13" s="212"/>
      <c r="AZ13" s="194"/>
      <c r="BA13" s="194"/>
    </row>
    <row r="14" spans="1:53" x14ac:dyDescent="0.25">
      <c r="B14" s="193">
        <f>EDATE(DATE(_Setup!$B$4,10,1),ROW()-ROW($B$11))</f>
        <v>46023</v>
      </c>
      <c r="C14" s="210">
        <v>11</v>
      </c>
      <c r="D14" s="210">
        <v>9</v>
      </c>
      <c r="E14" s="201">
        <f t="shared" si="0"/>
        <v>0.81818181818181823</v>
      </c>
      <c r="F14" s="210">
        <v>0</v>
      </c>
      <c r="G14" s="210">
        <v>0</v>
      </c>
      <c r="H14" s="201" t="str">
        <f t="shared" si="1"/>
        <v/>
      </c>
      <c r="I14" s="210">
        <v>0</v>
      </c>
      <c r="J14" s="210">
        <v>0</v>
      </c>
      <c r="K14" s="210"/>
      <c r="L14" s="210"/>
      <c r="M14" s="201" t="str">
        <f t="shared" si="2"/>
        <v/>
      </c>
      <c r="N14" s="210"/>
      <c r="O14" s="210"/>
      <c r="P14" s="211">
        <v>4</v>
      </c>
      <c r="Q14" s="211">
        <v>0</v>
      </c>
      <c r="R14" s="201">
        <f t="shared" si="3"/>
        <v>0</v>
      </c>
      <c r="S14" s="211">
        <v>0</v>
      </c>
      <c r="T14" s="211"/>
      <c r="U14" s="211">
        <v>0</v>
      </c>
      <c r="V14" s="211">
        <v>0</v>
      </c>
      <c r="W14" s="212"/>
      <c r="X14" s="212"/>
      <c r="Y14" s="212"/>
      <c r="Z14" s="212"/>
      <c r="AA14" s="212"/>
      <c r="AB14" s="212"/>
      <c r="AC14" s="212"/>
      <c r="AD14" s="212"/>
      <c r="AZ14" s="194"/>
      <c r="BA14" s="194"/>
    </row>
    <row r="15" spans="1:53" x14ac:dyDescent="0.25">
      <c r="B15" s="193">
        <f>EDATE(DATE(_Setup!$B$4,10,1),ROW()-ROW($B$11))</f>
        <v>46054</v>
      </c>
      <c r="C15" s="210">
        <v>9</v>
      </c>
      <c r="D15" s="210">
        <v>6</v>
      </c>
      <c r="E15" s="201">
        <f t="shared" si="0"/>
        <v>0.66666666666666663</v>
      </c>
      <c r="F15" s="210">
        <v>0</v>
      </c>
      <c r="G15" s="210">
        <v>0</v>
      </c>
      <c r="H15" s="201" t="str">
        <f t="shared" si="1"/>
        <v/>
      </c>
      <c r="I15" s="210">
        <v>0</v>
      </c>
      <c r="J15" s="210">
        <v>0</v>
      </c>
      <c r="K15" s="210"/>
      <c r="L15" s="210"/>
      <c r="M15" s="201" t="str">
        <f t="shared" si="2"/>
        <v/>
      </c>
      <c r="N15" s="210"/>
      <c r="O15" s="210"/>
      <c r="P15" s="211">
        <v>4</v>
      </c>
      <c r="Q15" s="211">
        <v>0</v>
      </c>
      <c r="R15" s="201">
        <f t="shared" si="3"/>
        <v>0</v>
      </c>
      <c r="S15" s="211">
        <v>0</v>
      </c>
      <c r="T15" s="211"/>
      <c r="U15" s="211">
        <v>0</v>
      </c>
      <c r="V15" s="211">
        <v>0</v>
      </c>
      <c r="W15" s="212"/>
      <c r="X15" s="212"/>
      <c r="Y15" s="212"/>
      <c r="Z15" s="212"/>
      <c r="AA15" s="212"/>
      <c r="AB15" s="212"/>
      <c r="AC15" s="212"/>
      <c r="AD15" s="212"/>
      <c r="AZ15" s="194"/>
      <c r="BA15" s="194"/>
    </row>
    <row r="16" spans="1:53" x14ac:dyDescent="0.25">
      <c r="B16" s="193">
        <f>EDATE(DATE(_Setup!$B$4,10,1),ROW()-ROW($B$11))</f>
        <v>46082</v>
      </c>
      <c r="C16" s="210">
        <v>12</v>
      </c>
      <c r="D16" s="210">
        <v>11</v>
      </c>
      <c r="E16" s="201">
        <f t="shared" si="0"/>
        <v>0.91666666666666663</v>
      </c>
      <c r="F16" s="210">
        <v>0</v>
      </c>
      <c r="G16" s="210">
        <v>0</v>
      </c>
      <c r="H16" s="201" t="str">
        <f t="shared" si="1"/>
        <v/>
      </c>
      <c r="I16" s="210">
        <v>0</v>
      </c>
      <c r="J16" s="210">
        <v>0</v>
      </c>
      <c r="K16" s="210"/>
      <c r="L16" s="210"/>
      <c r="M16" s="201" t="str">
        <f t="shared" si="2"/>
        <v/>
      </c>
      <c r="N16" s="210"/>
      <c r="O16" s="210"/>
      <c r="P16" s="211">
        <v>4</v>
      </c>
      <c r="Q16" s="211">
        <v>0</v>
      </c>
      <c r="R16" s="201">
        <f t="shared" si="3"/>
        <v>0</v>
      </c>
      <c r="S16" s="211">
        <v>0</v>
      </c>
      <c r="T16" s="211"/>
      <c r="U16" s="211">
        <v>0.25</v>
      </c>
      <c r="V16" s="211">
        <v>0</v>
      </c>
      <c r="W16" s="212"/>
      <c r="X16" s="212"/>
      <c r="Y16" s="212"/>
      <c r="Z16" s="212"/>
      <c r="AA16" s="212"/>
      <c r="AB16" s="212"/>
      <c r="AC16" s="212"/>
      <c r="AD16" s="212"/>
      <c r="AZ16" s="194"/>
      <c r="BA16" s="194"/>
    </row>
    <row r="17" spans="2:53" x14ac:dyDescent="0.25">
      <c r="B17" s="193">
        <f>EDATE(DATE(_Setup!$B$4,10,1),ROW()-ROW($B$11))</f>
        <v>46113</v>
      </c>
      <c r="C17" s="210">
        <v>11</v>
      </c>
      <c r="D17" s="210">
        <v>10</v>
      </c>
      <c r="E17" s="201">
        <f t="shared" si="0"/>
        <v>0.90909090909090906</v>
      </c>
      <c r="F17" s="210">
        <v>0</v>
      </c>
      <c r="G17" s="210">
        <v>0</v>
      </c>
      <c r="H17" s="201" t="str">
        <f t="shared" si="1"/>
        <v/>
      </c>
      <c r="I17" s="210">
        <v>0</v>
      </c>
      <c r="J17" s="210">
        <v>0</v>
      </c>
      <c r="K17" s="210"/>
      <c r="L17" s="210"/>
      <c r="M17" s="201" t="str">
        <f t="shared" si="2"/>
        <v/>
      </c>
      <c r="N17" s="210"/>
      <c r="O17" s="210"/>
      <c r="P17" s="211">
        <v>4</v>
      </c>
      <c r="Q17" s="211">
        <v>0</v>
      </c>
      <c r="R17" s="201">
        <f t="shared" si="3"/>
        <v>0</v>
      </c>
      <c r="S17" s="211">
        <v>0</v>
      </c>
      <c r="T17" s="211"/>
      <c r="U17" s="211">
        <v>0</v>
      </c>
      <c r="V17" s="211">
        <v>0</v>
      </c>
      <c r="W17" s="212"/>
      <c r="X17" s="212"/>
      <c r="Y17" s="212"/>
      <c r="Z17" s="212"/>
      <c r="AA17" s="212"/>
      <c r="AB17" s="212"/>
      <c r="AC17" s="212"/>
      <c r="AD17" s="212"/>
      <c r="AZ17" s="194"/>
      <c r="BA17" s="194"/>
    </row>
    <row r="18" spans="2:53" x14ac:dyDescent="0.25">
      <c r="B18" s="193">
        <f>EDATE(DATE(_Setup!$B$4,10,1),ROW()-ROW($B$11))</f>
        <v>46143</v>
      </c>
      <c r="C18" s="210">
        <v>5</v>
      </c>
      <c r="D18" s="210">
        <v>5</v>
      </c>
      <c r="E18" s="201">
        <f t="shared" si="0"/>
        <v>1</v>
      </c>
      <c r="F18" s="210">
        <v>0</v>
      </c>
      <c r="G18" s="210">
        <v>0</v>
      </c>
      <c r="H18" s="201" t="str">
        <f t="shared" si="1"/>
        <v/>
      </c>
      <c r="I18" s="210"/>
      <c r="J18" s="210"/>
      <c r="K18" s="210"/>
      <c r="L18" s="210"/>
      <c r="M18" s="201" t="str">
        <f t="shared" si="2"/>
        <v/>
      </c>
      <c r="N18" s="210"/>
      <c r="O18" s="210"/>
      <c r="P18" s="211">
        <v>4</v>
      </c>
      <c r="Q18" s="211">
        <v>0</v>
      </c>
      <c r="R18" s="201">
        <f t="shared" si="3"/>
        <v>0</v>
      </c>
      <c r="S18" s="211">
        <v>0</v>
      </c>
      <c r="T18" s="211"/>
      <c r="U18" s="211">
        <v>1</v>
      </c>
      <c r="V18" s="211">
        <v>0</v>
      </c>
      <c r="W18" s="212"/>
      <c r="X18" s="212"/>
      <c r="Y18" s="212"/>
      <c r="Z18" s="212"/>
      <c r="AA18" s="212"/>
      <c r="AB18" s="212"/>
      <c r="AC18" s="212"/>
      <c r="AD18" s="212"/>
      <c r="AZ18" s="194"/>
      <c r="BA18" s="194"/>
    </row>
    <row r="19" spans="2:53" x14ac:dyDescent="0.25">
      <c r="B19" s="193">
        <f>EDATE(DATE(_Setup!$B$4,10,1),ROW()-ROW($B$11))</f>
        <v>46174</v>
      </c>
      <c r="C19" s="210">
        <v>4</v>
      </c>
      <c r="D19" s="210">
        <v>4</v>
      </c>
      <c r="E19" s="201">
        <f t="shared" si="0"/>
        <v>1</v>
      </c>
      <c r="F19" s="210">
        <v>0</v>
      </c>
      <c r="G19" s="210">
        <v>0</v>
      </c>
      <c r="H19" s="201" t="str">
        <f t="shared" si="1"/>
        <v/>
      </c>
      <c r="I19" s="210"/>
      <c r="J19" s="210"/>
      <c r="K19" s="210"/>
      <c r="L19" s="210"/>
      <c r="M19" s="201" t="str">
        <f t="shared" si="2"/>
        <v/>
      </c>
      <c r="N19" s="210"/>
      <c r="O19" s="210"/>
      <c r="P19" s="211"/>
      <c r="Q19" s="211"/>
      <c r="R19" s="201" t="str">
        <f t="shared" si="3"/>
        <v/>
      </c>
      <c r="S19" s="211"/>
      <c r="T19" s="211"/>
      <c r="U19" s="211">
        <v>1</v>
      </c>
      <c r="V19" s="211"/>
      <c r="W19" s="212"/>
      <c r="X19" s="212"/>
      <c r="Y19" s="212"/>
      <c r="Z19" s="212"/>
      <c r="AA19" s="212"/>
      <c r="AB19" s="212"/>
      <c r="AC19" s="212"/>
      <c r="AD19" s="212"/>
      <c r="AZ19" s="194"/>
      <c r="BA19" s="194"/>
    </row>
    <row r="20" spans="2:53" x14ac:dyDescent="0.25">
      <c r="B20" s="193">
        <f>EDATE(DATE(_Setup!$B$4,10,1),ROW()-ROW($B$11))</f>
        <v>46204</v>
      </c>
      <c r="C20" s="210"/>
      <c r="D20" s="210"/>
      <c r="E20" s="201" t="str">
        <f t="shared" si="0"/>
        <v/>
      </c>
      <c r="F20" s="210"/>
      <c r="G20" s="210"/>
      <c r="H20" s="201" t="str">
        <f t="shared" si="1"/>
        <v/>
      </c>
      <c r="I20" s="210"/>
      <c r="J20" s="210"/>
      <c r="K20" s="210"/>
      <c r="L20" s="210"/>
      <c r="M20" s="201" t="str">
        <f t="shared" si="2"/>
        <v/>
      </c>
      <c r="N20" s="210"/>
      <c r="O20" s="210"/>
      <c r="P20" s="211"/>
      <c r="Q20" s="211"/>
      <c r="R20" s="201" t="str">
        <f t="shared" si="3"/>
        <v/>
      </c>
      <c r="S20" s="211"/>
      <c r="T20" s="211"/>
      <c r="U20" s="211"/>
      <c r="V20" s="211"/>
      <c r="W20" s="212"/>
      <c r="X20" s="212"/>
      <c r="Y20" s="212"/>
      <c r="Z20" s="212"/>
      <c r="AA20" s="212"/>
      <c r="AB20" s="212"/>
      <c r="AC20" s="212"/>
      <c r="AD20" s="212"/>
      <c r="AZ20" s="194"/>
      <c r="BA20" s="194"/>
    </row>
    <row r="21" spans="2:53" x14ac:dyDescent="0.25">
      <c r="B21" s="193">
        <f>EDATE(DATE(_Setup!$B$4,10,1),ROW()-ROW($B$11))</f>
        <v>46235</v>
      </c>
      <c r="C21" s="210"/>
      <c r="D21" s="210"/>
      <c r="E21" s="201" t="str">
        <f t="shared" si="0"/>
        <v/>
      </c>
      <c r="F21" s="210"/>
      <c r="G21" s="210"/>
      <c r="H21" s="201" t="str">
        <f t="shared" si="1"/>
        <v/>
      </c>
      <c r="I21" s="210"/>
      <c r="J21" s="210"/>
      <c r="K21" s="210"/>
      <c r="L21" s="210"/>
      <c r="M21" s="201" t="str">
        <f t="shared" si="2"/>
        <v/>
      </c>
      <c r="N21" s="210"/>
      <c r="O21" s="210"/>
      <c r="P21" s="211"/>
      <c r="Q21" s="211"/>
      <c r="R21" s="201" t="str">
        <f t="shared" si="3"/>
        <v/>
      </c>
      <c r="S21" s="211"/>
      <c r="T21" s="211"/>
      <c r="U21" s="211"/>
      <c r="V21" s="211"/>
      <c r="W21" s="212"/>
      <c r="X21" s="212"/>
      <c r="Y21" s="212"/>
      <c r="Z21" s="212"/>
      <c r="AA21" s="212"/>
      <c r="AB21" s="212"/>
      <c r="AC21" s="212"/>
      <c r="AD21" s="212"/>
      <c r="AZ21" s="194"/>
      <c r="BA21" s="194"/>
    </row>
    <row r="22" spans="2:53" x14ac:dyDescent="0.25">
      <c r="B22" s="193">
        <f>EDATE(DATE(_Setup!$B$4,10,1),ROW()-ROW($B$11))</f>
        <v>46266</v>
      </c>
      <c r="C22" s="210"/>
      <c r="D22" s="210"/>
      <c r="E22" s="201" t="str">
        <f t="shared" si="0"/>
        <v/>
      </c>
      <c r="F22" s="210"/>
      <c r="G22" s="210"/>
      <c r="H22" s="201" t="str">
        <f t="shared" si="1"/>
        <v/>
      </c>
      <c r="I22" s="210"/>
      <c r="J22" s="210"/>
      <c r="K22" s="210"/>
      <c r="L22" s="210"/>
      <c r="M22" s="201" t="str">
        <f t="shared" si="2"/>
        <v/>
      </c>
      <c r="N22" s="210"/>
      <c r="O22" s="210"/>
      <c r="P22" s="211"/>
      <c r="Q22" s="211"/>
      <c r="R22" s="201" t="str">
        <f t="shared" si="3"/>
        <v/>
      </c>
      <c r="S22" s="211"/>
      <c r="T22" s="211"/>
      <c r="U22" s="211"/>
      <c r="V22" s="211"/>
      <c r="W22" s="212"/>
      <c r="X22" s="212"/>
      <c r="Y22" s="212"/>
      <c r="Z22" s="212"/>
      <c r="AA22" s="212"/>
      <c r="AB22" s="212"/>
      <c r="AC22" s="212"/>
      <c r="AD22" s="212"/>
      <c r="AZ22" s="194"/>
      <c r="BA22" s="194"/>
    </row>
    <row r="23" spans="2:53" x14ac:dyDescent="0.25">
      <c r="C23" s="283" t="s">
        <v>60</v>
      </c>
      <c r="D23" s="284"/>
      <c r="E23" s="284"/>
      <c r="F23" s="284"/>
      <c r="G23" s="284"/>
      <c r="H23" s="284"/>
      <c r="I23" s="284"/>
      <c r="J23" s="284"/>
      <c r="K23" s="284"/>
      <c r="L23" s="284"/>
      <c r="M23" s="284"/>
      <c r="N23" s="284"/>
      <c r="O23" s="285"/>
    </row>
    <row r="24" spans="2:53" ht="45" x14ac:dyDescent="0.25">
      <c r="B24" s="192" t="s">
        <v>61</v>
      </c>
      <c r="C24" s="192" t="s">
        <v>62</v>
      </c>
      <c r="D24" s="192" t="s">
        <v>63</v>
      </c>
      <c r="E24" s="192" t="s">
        <v>64</v>
      </c>
      <c r="F24" s="192" t="s">
        <v>65</v>
      </c>
      <c r="G24" s="192" t="s">
        <v>66</v>
      </c>
      <c r="H24" s="192" t="s">
        <v>67</v>
      </c>
      <c r="I24" s="192" t="s">
        <v>68</v>
      </c>
      <c r="J24" s="192" t="s">
        <v>69</v>
      </c>
      <c r="K24" s="192" t="s">
        <v>70</v>
      </c>
      <c r="L24" s="192" t="s">
        <v>71</v>
      </c>
      <c r="M24" s="192" t="s">
        <v>72</v>
      </c>
      <c r="N24" s="192" t="s">
        <v>73</v>
      </c>
      <c r="O24" s="192" t="s">
        <v>74</v>
      </c>
    </row>
    <row r="25" spans="2:53" x14ac:dyDescent="0.25">
      <c r="B25" s="193">
        <f>EDATE(DATE(_Setup!$B$4,10,1),ROW()-ROW($B$25))</f>
        <v>45931</v>
      </c>
      <c r="C25" s="210">
        <v>71</v>
      </c>
      <c r="D25" s="210">
        <v>38</v>
      </c>
      <c r="E25" s="201">
        <f t="shared" ref="E25:E36" si="4">IFERROR(D25/C25,"")</f>
        <v>0.53521126760563376</v>
      </c>
      <c r="F25" s="210">
        <v>0</v>
      </c>
      <c r="G25" s="210">
        <v>0</v>
      </c>
      <c r="H25" s="201" t="str">
        <f t="shared" ref="H25:H36" si="5">IFERROR(G25/F25,"")</f>
        <v/>
      </c>
      <c r="I25" s="210">
        <v>1</v>
      </c>
      <c r="J25" s="210">
        <v>8</v>
      </c>
      <c r="K25" s="210"/>
      <c r="L25" s="210"/>
      <c r="M25" s="201" t="str">
        <f t="shared" ref="M25:M36" si="6">IFERROR(L25/K25,"")</f>
        <v/>
      </c>
      <c r="N25" s="210"/>
      <c r="O25" s="210"/>
    </row>
    <row r="26" spans="2:53" x14ac:dyDescent="0.25">
      <c r="B26" s="193">
        <f>EDATE(DATE(_Setup!$B$4,10,1),ROW()-ROW($B$25))</f>
        <v>45962</v>
      </c>
      <c r="C26" s="210">
        <v>55</v>
      </c>
      <c r="D26" s="210">
        <v>20</v>
      </c>
      <c r="E26" s="201">
        <f t="shared" si="4"/>
        <v>0.36363636363636365</v>
      </c>
      <c r="F26" s="210">
        <v>0</v>
      </c>
      <c r="G26" s="210">
        <v>0</v>
      </c>
      <c r="H26" s="201" t="str">
        <f t="shared" si="5"/>
        <v/>
      </c>
      <c r="I26" s="210">
        <v>0</v>
      </c>
      <c r="J26" s="210">
        <v>0</v>
      </c>
      <c r="K26" s="210"/>
      <c r="L26" s="210"/>
      <c r="M26" s="201" t="str">
        <f t="shared" si="6"/>
        <v/>
      </c>
      <c r="N26" s="210"/>
      <c r="O26" s="210"/>
    </row>
    <row r="27" spans="2:53" x14ac:dyDescent="0.25">
      <c r="B27" s="193">
        <f>EDATE(DATE(_Setup!$B$4,10,1),ROW()-ROW($B$25))</f>
        <v>45992</v>
      </c>
      <c r="C27" s="210">
        <v>61</v>
      </c>
      <c r="D27" s="210">
        <v>24</v>
      </c>
      <c r="E27" s="201">
        <f t="shared" si="4"/>
        <v>0.39344262295081966</v>
      </c>
      <c r="F27" s="210">
        <v>0</v>
      </c>
      <c r="G27" s="210">
        <v>0</v>
      </c>
      <c r="H27" s="201" t="str">
        <f t="shared" si="5"/>
        <v/>
      </c>
      <c r="I27" s="210">
        <v>0</v>
      </c>
      <c r="J27" s="210">
        <v>0</v>
      </c>
      <c r="K27" s="210"/>
      <c r="L27" s="210"/>
      <c r="M27" s="201" t="str">
        <f t="shared" si="6"/>
        <v/>
      </c>
      <c r="N27" s="210"/>
      <c r="O27" s="210"/>
    </row>
    <row r="28" spans="2:53" x14ac:dyDescent="0.25">
      <c r="B28" s="193">
        <f>EDATE(DATE(_Setup!$B$4,10,1),ROW()-ROW($B$25))</f>
        <v>46023</v>
      </c>
      <c r="C28" s="210">
        <v>64</v>
      </c>
      <c r="D28" s="210">
        <v>33</v>
      </c>
      <c r="E28" s="201">
        <f t="shared" si="4"/>
        <v>0.515625</v>
      </c>
      <c r="F28" s="210">
        <v>0</v>
      </c>
      <c r="G28" s="210">
        <v>0</v>
      </c>
      <c r="H28" s="201" t="str">
        <f t="shared" si="5"/>
        <v/>
      </c>
      <c r="I28" s="210">
        <v>1</v>
      </c>
      <c r="J28" s="210">
        <v>8</v>
      </c>
      <c r="K28" s="210"/>
      <c r="L28" s="210"/>
      <c r="M28" s="201" t="str">
        <f t="shared" si="6"/>
        <v/>
      </c>
      <c r="N28" s="210"/>
      <c r="O28" s="210"/>
    </row>
    <row r="29" spans="2:53" x14ac:dyDescent="0.25">
      <c r="B29" s="193">
        <f>EDATE(DATE(_Setup!$B$4,10,1),ROW()-ROW($B$25))</f>
        <v>46054</v>
      </c>
      <c r="C29" s="210">
        <v>59</v>
      </c>
      <c r="D29" s="210">
        <v>30</v>
      </c>
      <c r="E29" s="201">
        <f t="shared" si="4"/>
        <v>0.50847457627118642</v>
      </c>
      <c r="F29" s="210">
        <v>0</v>
      </c>
      <c r="G29" s="210">
        <v>0</v>
      </c>
      <c r="H29" s="201" t="str">
        <f t="shared" si="5"/>
        <v/>
      </c>
      <c r="I29" s="210">
        <v>0</v>
      </c>
      <c r="J29" s="210">
        <v>0</v>
      </c>
      <c r="K29" s="210"/>
      <c r="L29" s="210"/>
      <c r="M29" s="201" t="str">
        <f t="shared" si="6"/>
        <v/>
      </c>
      <c r="N29" s="210"/>
      <c r="O29" s="210"/>
    </row>
    <row r="30" spans="2:53" x14ac:dyDescent="0.25">
      <c r="B30" s="193">
        <f>EDATE(DATE(_Setup!$B$4,10,1),ROW()-ROW($B$25))</f>
        <v>46082</v>
      </c>
      <c r="C30" s="210">
        <v>79</v>
      </c>
      <c r="D30" s="210">
        <v>65</v>
      </c>
      <c r="E30" s="201">
        <f t="shared" si="4"/>
        <v>0.82278481012658233</v>
      </c>
      <c r="F30" s="210">
        <v>0</v>
      </c>
      <c r="G30" s="210">
        <v>0</v>
      </c>
      <c r="H30" s="201" t="str">
        <f t="shared" si="5"/>
        <v/>
      </c>
      <c r="I30" s="210">
        <v>0</v>
      </c>
      <c r="J30" s="210">
        <v>0</v>
      </c>
      <c r="K30" s="210"/>
      <c r="L30" s="210"/>
      <c r="M30" s="201" t="str">
        <f t="shared" si="6"/>
        <v/>
      </c>
      <c r="N30" s="210"/>
      <c r="O30" s="210"/>
    </row>
    <row r="31" spans="2:53" x14ac:dyDescent="0.25">
      <c r="B31" s="193">
        <f>EDATE(DATE(_Setup!$B$4,10,1),ROW()-ROW($B$25))</f>
        <v>46113</v>
      </c>
      <c r="C31" s="210">
        <v>83</v>
      </c>
      <c r="D31" s="210">
        <v>79</v>
      </c>
      <c r="E31" s="201">
        <f t="shared" si="4"/>
        <v>0.95180722891566261</v>
      </c>
      <c r="F31" s="210">
        <v>1</v>
      </c>
      <c r="G31" s="210">
        <v>1</v>
      </c>
      <c r="H31" s="201">
        <f t="shared" si="5"/>
        <v>1</v>
      </c>
      <c r="I31" s="210">
        <v>0</v>
      </c>
      <c r="J31" s="210">
        <v>0</v>
      </c>
      <c r="K31" s="210"/>
      <c r="L31" s="210"/>
      <c r="M31" s="201" t="str">
        <f t="shared" si="6"/>
        <v/>
      </c>
      <c r="N31" s="210"/>
      <c r="O31" s="210"/>
    </row>
    <row r="32" spans="2:53" x14ac:dyDescent="0.25">
      <c r="B32" s="193">
        <f>EDATE(DATE(_Setup!$B$4,10,1),ROW()-ROW($B$25))</f>
        <v>46143</v>
      </c>
      <c r="C32" s="210">
        <v>45</v>
      </c>
      <c r="D32" s="210">
        <v>42</v>
      </c>
      <c r="E32" s="201">
        <f t="shared" si="4"/>
        <v>0.93333333333333335</v>
      </c>
      <c r="F32" s="210">
        <v>2</v>
      </c>
      <c r="G32" s="210">
        <v>2</v>
      </c>
      <c r="H32" s="201">
        <f t="shared" si="5"/>
        <v>1</v>
      </c>
      <c r="I32" s="210">
        <v>0</v>
      </c>
      <c r="J32" s="210">
        <v>0</v>
      </c>
      <c r="K32" s="210"/>
      <c r="L32" s="210"/>
      <c r="M32" s="201" t="str">
        <f t="shared" si="6"/>
        <v/>
      </c>
      <c r="N32" s="210"/>
      <c r="O32" s="210"/>
    </row>
    <row r="33" spans="2:15" x14ac:dyDescent="0.25">
      <c r="B33" s="193">
        <f>EDATE(DATE(_Setup!$B$4,10,1),ROW()-ROW($B$25))</f>
        <v>46174</v>
      </c>
      <c r="C33" s="210">
        <v>37</v>
      </c>
      <c r="D33" s="210">
        <v>37</v>
      </c>
      <c r="E33" s="201">
        <f t="shared" si="4"/>
        <v>1</v>
      </c>
      <c r="F33" s="210">
        <v>0</v>
      </c>
      <c r="G33" s="210">
        <v>0</v>
      </c>
      <c r="H33" s="201" t="str">
        <f t="shared" si="5"/>
        <v/>
      </c>
      <c r="I33" s="210"/>
      <c r="J33" s="210"/>
      <c r="K33" s="210"/>
      <c r="L33" s="210"/>
      <c r="M33" s="201" t="str">
        <f t="shared" si="6"/>
        <v/>
      </c>
      <c r="N33" s="210"/>
      <c r="O33" s="210"/>
    </row>
    <row r="34" spans="2:15" x14ac:dyDescent="0.25">
      <c r="B34" s="193">
        <f>EDATE(DATE(_Setup!$B$4,10,1),ROW()-ROW($B$25))</f>
        <v>46204</v>
      </c>
      <c r="C34" s="210"/>
      <c r="D34" s="210"/>
      <c r="E34" s="201" t="str">
        <f t="shared" si="4"/>
        <v/>
      </c>
      <c r="F34" s="210"/>
      <c r="G34" s="210"/>
      <c r="H34" s="201" t="str">
        <f t="shared" si="5"/>
        <v/>
      </c>
      <c r="I34" s="210"/>
      <c r="J34" s="210"/>
      <c r="K34" s="210"/>
      <c r="L34" s="210"/>
      <c r="M34" s="201" t="str">
        <f t="shared" si="6"/>
        <v/>
      </c>
      <c r="N34" s="210"/>
      <c r="O34" s="210"/>
    </row>
    <row r="35" spans="2:15" x14ac:dyDescent="0.25">
      <c r="B35" s="193">
        <f>EDATE(DATE(_Setup!$B$4,10,1),ROW()-ROW($B$25))</f>
        <v>46235</v>
      </c>
      <c r="C35" s="210"/>
      <c r="D35" s="210"/>
      <c r="E35" s="201" t="str">
        <f t="shared" si="4"/>
        <v/>
      </c>
      <c r="F35" s="210"/>
      <c r="G35" s="210"/>
      <c r="H35" s="201" t="str">
        <f t="shared" si="5"/>
        <v/>
      </c>
      <c r="I35" s="210"/>
      <c r="J35" s="210"/>
      <c r="K35" s="210"/>
      <c r="L35" s="210"/>
      <c r="M35" s="201" t="str">
        <f t="shared" si="6"/>
        <v/>
      </c>
      <c r="N35" s="210"/>
      <c r="O35" s="210"/>
    </row>
    <row r="36" spans="2:15" x14ac:dyDescent="0.25">
      <c r="B36" s="193">
        <f>EDATE(DATE(_Setup!$B$4,10,1),ROW()-ROW($B$25))</f>
        <v>46266</v>
      </c>
      <c r="C36" s="210"/>
      <c r="D36" s="210"/>
      <c r="E36" s="201" t="str">
        <f t="shared" si="4"/>
        <v/>
      </c>
      <c r="F36" s="210"/>
      <c r="G36" s="210"/>
      <c r="H36" s="201" t="str">
        <f t="shared" si="5"/>
        <v/>
      </c>
      <c r="I36" s="210"/>
      <c r="J36" s="210"/>
      <c r="K36" s="210"/>
      <c r="L36" s="210"/>
      <c r="M36" s="201" t="str">
        <f t="shared" si="6"/>
        <v/>
      </c>
      <c r="N36" s="210"/>
      <c r="O36" s="210"/>
    </row>
  </sheetData>
  <sheetProtection sheet="1" objects="1" scenarios="1" selectLockedCells="1"/>
  <mergeCells count="3">
    <mergeCell ref="C23:O23"/>
    <mergeCell ref="C8:O8"/>
    <mergeCell ref="A1:K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36"/>
  <sheetViews>
    <sheetView tabSelected="1" topLeftCell="B8" workbookViewId="0">
      <selection activeCell="C34" sqref="C34"/>
    </sheetView>
  </sheetViews>
  <sheetFormatPr defaultColWidth="10.7109375" defaultRowHeight="15" x14ac:dyDescent="0.25"/>
  <cols>
    <col min="1" max="1" width="3.28515625" hidden="1" customWidth="1"/>
  </cols>
  <sheetData>
    <row r="1" spans="1:53" hidden="1" x14ac:dyDescent="0.25">
      <c r="A1" s="288" t="s">
        <v>91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x14ac:dyDescent="0.25">
      <c r="C8" s="286" t="s">
        <v>59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9" spans="1:53" hidden="1" x14ac:dyDescent="0.25"/>
    <row r="10" spans="1:53" ht="6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P10" s="192" t="s">
        <v>75</v>
      </c>
      <c r="Q10" s="192" t="s">
        <v>76</v>
      </c>
      <c r="R10" s="192" t="s">
        <v>77</v>
      </c>
      <c r="S10" s="192" t="s">
        <v>78</v>
      </c>
      <c r="T10" s="192" t="s">
        <v>79</v>
      </c>
      <c r="U10" s="192" t="s">
        <v>80</v>
      </c>
      <c r="V10" s="192" t="s">
        <v>81</v>
      </c>
      <c r="W10" s="209" t="s">
        <v>82</v>
      </c>
      <c r="X10" s="209" t="s">
        <v>83</v>
      </c>
      <c r="Y10" s="209" t="s">
        <v>84</v>
      </c>
      <c r="Z10" s="209" t="s">
        <v>85</v>
      </c>
      <c r="AA10" s="209" t="s">
        <v>86</v>
      </c>
      <c r="AB10" s="209" t="s">
        <v>87</v>
      </c>
      <c r="AC10" s="209" t="s">
        <v>88</v>
      </c>
      <c r="AD10" s="209" t="s">
        <v>89</v>
      </c>
      <c r="AZ10" s="192" t="s">
        <v>75</v>
      </c>
      <c r="BA10" s="192" t="s">
        <v>76</v>
      </c>
    </row>
    <row r="11" spans="1:53" x14ac:dyDescent="0.25">
      <c r="B11" s="193">
        <f>EDATE(DATE(_Setup!$B$4,10,1),ROW()-ROW($B$11))</f>
        <v>45931</v>
      </c>
      <c r="C11" s="210">
        <v>7</v>
      </c>
      <c r="D11" s="210">
        <v>5</v>
      </c>
      <c r="E11" s="201">
        <f t="shared" ref="E11:E22" si="0">IFERROR(D11/C11,"")</f>
        <v>0.7142857142857143</v>
      </c>
      <c r="F11" s="210">
        <v>0</v>
      </c>
      <c r="G11" s="210">
        <v>0</v>
      </c>
      <c r="H11" s="201" t="str">
        <f t="shared" ref="H11:H22" si="1">IFERROR(G11/F11,"")</f>
        <v/>
      </c>
      <c r="I11" s="210">
        <v>0</v>
      </c>
      <c r="J11" s="210">
        <v>0</v>
      </c>
      <c r="K11" s="210">
        <v>135</v>
      </c>
      <c r="L11" s="210">
        <v>98</v>
      </c>
      <c r="M11" s="201">
        <f t="shared" ref="M11:M22" si="2">IFERROR(L11/K11,"")</f>
        <v>0.72592592592592597</v>
      </c>
      <c r="N11" s="210">
        <v>7</v>
      </c>
      <c r="O11" s="210"/>
      <c r="P11" s="211"/>
      <c r="Q11" s="211">
        <v>0</v>
      </c>
      <c r="R11" s="201" t="str">
        <f t="shared" ref="R11:R22" si="3">IFERROR(Q11/P11,"")</f>
        <v/>
      </c>
      <c r="S11" s="211"/>
      <c r="T11" s="211"/>
      <c r="U11" s="211">
        <v>1</v>
      </c>
      <c r="V11" s="211">
        <v>0</v>
      </c>
      <c r="W11" s="212"/>
      <c r="X11" s="212"/>
      <c r="Y11" s="212"/>
      <c r="Z11" s="212"/>
      <c r="AA11" s="212"/>
      <c r="AB11" s="212"/>
      <c r="AC11" s="212"/>
      <c r="AD11" s="212"/>
      <c r="AZ11" s="194"/>
      <c r="BA11" s="194"/>
    </row>
    <row r="12" spans="1:53" x14ac:dyDescent="0.25">
      <c r="B12" s="193">
        <f>EDATE(DATE(_Setup!$B$4,10,1),ROW()-ROW($B$11))</f>
        <v>45962</v>
      </c>
      <c r="C12" s="210">
        <v>3</v>
      </c>
      <c r="D12" s="210">
        <v>1</v>
      </c>
      <c r="E12" s="201">
        <f t="shared" si="0"/>
        <v>0.33333333333333331</v>
      </c>
      <c r="F12" s="210">
        <v>0</v>
      </c>
      <c r="G12" s="210">
        <v>0</v>
      </c>
      <c r="H12" s="201" t="str">
        <f t="shared" si="1"/>
        <v/>
      </c>
      <c r="I12" s="210">
        <v>0</v>
      </c>
      <c r="J12" s="210">
        <v>0</v>
      </c>
      <c r="K12" s="210">
        <v>102</v>
      </c>
      <c r="L12" s="210">
        <v>81</v>
      </c>
      <c r="M12" s="201">
        <f t="shared" si="2"/>
        <v>0.79411764705882348</v>
      </c>
      <c r="N12" s="210">
        <v>1</v>
      </c>
      <c r="O12" s="210"/>
      <c r="P12" s="211"/>
      <c r="Q12" s="211">
        <v>0</v>
      </c>
      <c r="R12" s="201" t="str">
        <f t="shared" si="3"/>
        <v/>
      </c>
      <c r="S12" s="211"/>
      <c r="T12" s="211"/>
      <c r="U12" s="211">
        <v>3.5</v>
      </c>
      <c r="V12" s="211">
        <v>0</v>
      </c>
      <c r="W12" s="212"/>
      <c r="X12" s="212"/>
      <c r="Y12" s="212"/>
      <c r="Z12" s="212"/>
      <c r="AA12" s="212"/>
      <c r="AB12" s="212"/>
      <c r="AC12" s="212"/>
      <c r="AD12" s="212"/>
      <c r="AZ12" s="194"/>
      <c r="BA12" s="194"/>
    </row>
    <row r="13" spans="1:53" x14ac:dyDescent="0.25">
      <c r="B13" s="193">
        <f>EDATE(DATE(_Setup!$B$4,10,1),ROW()-ROW($B$11))</f>
        <v>45992</v>
      </c>
      <c r="C13" s="210">
        <v>0</v>
      </c>
      <c r="D13" s="210">
        <v>0</v>
      </c>
      <c r="E13" s="201" t="str">
        <f t="shared" si="0"/>
        <v/>
      </c>
      <c r="F13" s="210">
        <v>0</v>
      </c>
      <c r="G13" s="210">
        <v>0</v>
      </c>
      <c r="H13" s="201" t="str">
        <f t="shared" si="1"/>
        <v/>
      </c>
      <c r="I13" s="210">
        <v>0</v>
      </c>
      <c r="J13" s="210">
        <v>0</v>
      </c>
      <c r="K13" s="210">
        <v>125</v>
      </c>
      <c r="L13" s="210">
        <v>93</v>
      </c>
      <c r="M13" s="201">
        <f t="shared" si="2"/>
        <v>0.74399999999999999</v>
      </c>
      <c r="N13" s="210">
        <v>0</v>
      </c>
      <c r="O13" s="210"/>
      <c r="P13" s="211"/>
      <c r="Q13" s="211">
        <v>0</v>
      </c>
      <c r="R13" s="201" t="str">
        <f t="shared" si="3"/>
        <v/>
      </c>
      <c r="S13" s="211"/>
      <c r="T13" s="211"/>
      <c r="U13" s="211">
        <v>4.75</v>
      </c>
      <c r="V13" s="211">
        <v>0</v>
      </c>
      <c r="W13" s="212"/>
      <c r="X13" s="212"/>
      <c r="Y13" s="212"/>
      <c r="Z13" s="212"/>
      <c r="AA13" s="212"/>
      <c r="AB13" s="212"/>
      <c r="AC13" s="212"/>
      <c r="AD13" s="212"/>
      <c r="AZ13" s="194"/>
      <c r="BA13" s="194"/>
    </row>
    <row r="14" spans="1:53" x14ac:dyDescent="0.25">
      <c r="B14" s="193">
        <f>EDATE(DATE(_Setup!$B$4,10,1),ROW()-ROW($B$11))</f>
        <v>46023</v>
      </c>
      <c r="C14" s="210">
        <v>7</v>
      </c>
      <c r="D14" s="210">
        <v>5</v>
      </c>
      <c r="E14" s="201">
        <f t="shared" si="0"/>
        <v>0.7142857142857143</v>
      </c>
      <c r="F14" s="210">
        <v>0</v>
      </c>
      <c r="G14" s="210">
        <v>0</v>
      </c>
      <c r="H14" s="201" t="str">
        <f t="shared" si="1"/>
        <v/>
      </c>
      <c r="I14" s="210">
        <v>0</v>
      </c>
      <c r="J14" s="210">
        <v>0</v>
      </c>
      <c r="K14" s="210">
        <v>123</v>
      </c>
      <c r="L14" s="210">
        <v>83</v>
      </c>
      <c r="M14" s="201">
        <f t="shared" si="2"/>
        <v>0.67479674796747968</v>
      </c>
      <c r="N14" s="210">
        <v>2</v>
      </c>
      <c r="O14" s="210"/>
      <c r="P14" s="211"/>
      <c r="Q14" s="211">
        <v>0</v>
      </c>
      <c r="R14" s="201" t="str">
        <f t="shared" si="3"/>
        <v/>
      </c>
      <c r="S14" s="211"/>
      <c r="T14" s="211"/>
      <c r="U14" s="211">
        <v>2.25</v>
      </c>
      <c r="V14" s="211">
        <v>0</v>
      </c>
      <c r="W14" s="212"/>
      <c r="X14" s="212"/>
      <c r="Y14" s="212"/>
      <c r="Z14" s="212"/>
      <c r="AA14" s="212"/>
      <c r="AB14" s="212"/>
      <c r="AC14" s="212"/>
      <c r="AD14" s="212"/>
      <c r="AZ14" s="194"/>
      <c r="BA14" s="194"/>
    </row>
    <row r="15" spans="1:53" x14ac:dyDescent="0.25">
      <c r="B15" s="193">
        <f>EDATE(DATE(_Setup!$B$4,10,1),ROW()-ROW($B$11))</f>
        <v>46054</v>
      </c>
      <c r="C15" s="210">
        <v>3</v>
      </c>
      <c r="D15" s="210">
        <v>3</v>
      </c>
      <c r="E15" s="201">
        <f t="shared" si="0"/>
        <v>1</v>
      </c>
      <c r="F15" s="210">
        <v>0</v>
      </c>
      <c r="G15" s="210">
        <v>0</v>
      </c>
      <c r="H15" s="201" t="str">
        <f t="shared" si="1"/>
        <v/>
      </c>
      <c r="I15" s="210">
        <v>0</v>
      </c>
      <c r="J15" s="210">
        <v>0</v>
      </c>
      <c r="K15" s="210">
        <v>101</v>
      </c>
      <c r="L15" s="210">
        <v>72</v>
      </c>
      <c r="M15" s="201">
        <f t="shared" si="2"/>
        <v>0.71287128712871284</v>
      </c>
      <c r="N15" s="210">
        <v>0</v>
      </c>
      <c r="O15" s="210"/>
      <c r="P15" s="211"/>
      <c r="Q15" s="211">
        <v>0</v>
      </c>
      <c r="R15" s="201" t="str">
        <f t="shared" si="3"/>
        <v/>
      </c>
      <c r="S15" s="211"/>
      <c r="T15" s="211"/>
      <c r="U15" s="211">
        <v>1</v>
      </c>
      <c r="V15" s="211">
        <v>0</v>
      </c>
      <c r="W15" s="212"/>
      <c r="X15" s="212"/>
      <c r="Y15" s="212"/>
      <c r="Z15" s="212"/>
      <c r="AA15" s="212"/>
      <c r="AB15" s="212"/>
      <c r="AC15" s="212"/>
      <c r="AD15" s="212"/>
      <c r="AZ15" s="194"/>
      <c r="BA15" s="194"/>
    </row>
    <row r="16" spans="1:53" x14ac:dyDescent="0.25">
      <c r="B16" s="193">
        <f>EDATE(DATE(_Setup!$B$4,10,1),ROW()-ROW($B$11))</f>
        <v>46082</v>
      </c>
      <c r="C16" s="210">
        <v>5</v>
      </c>
      <c r="D16" s="210">
        <v>2</v>
      </c>
      <c r="E16" s="201">
        <f t="shared" si="0"/>
        <v>0.4</v>
      </c>
      <c r="F16" s="210">
        <v>0</v>
      </c>
      <c r="G16" s="210">
        <v>0</v>
      </c>
      <c r="H16" s="201" t="str">
        <f t="shared" si="1"/>
        <v/>
      </c>
      <c r="I16" s="210">
        <v>0</v>
      </c>
      <c r="J16" s="210">
        <v>0</v>
      </c>
      <c r="K16" s="210">
        <v>101</v>
      </c>
      <c r="L16" s="210">
        <v>80</v>
      </c>
      <c r="M16" s="201">
        <f t="shared" si="2"/>
        <v>0.79207920792079212</v>
      </c>
      <c r="N16" s="210">
        <v>2</v>
      </c>
      <c r="O16" s="210"/>
      <c r="P16" s="211"/>
      <c r="Q16" s="211">
        <v>0</v>
      </c>
      <c r="R16" s="201" t="str">
        <f t="shared" si="3"/>
        <v/>
      </c>
      <c r="S16" s="211"/>
      <c r="T16" s="211"/>
      <c r="U16" s="211">
        <v>9</v>
      </c>
      <c r="V16" s="211">
        <v>0</v>
      </c>
      <c r="W16" s="212"/>
      <c r="X16" s="212"/>
      <c r="Y16" s="212"/>
      <c r="Z16" s="212"/>
      <c r="AA16" s="212"/>
      <c r="AB16" s="212"/>
      <c r="AC16" s="212"/>
      <c r="AD16" s="212"/>
      <c r="AZ16" s="194"/>
      <c r="BA16" s="194"/>
    </row>
    <row r="17" spans="2:53" x14ac:dyDescent="0.25">
      <c r="B17" s="193">
        <f>EDATE(DATE(_Setup!$B$4,10,1),ROW()-ROW($B$11))</f>
        <v>46113</v>
      </c>
      <c r="C17" s="210">
        <v>15</v>
      </c>
      <c r="D17" s="210">
        <v>15</v>
      </c>
      <c r="E17" s="201">
        <f t="shared" si="0"/>
        <v>1</v>
      </c>
      <c r="F17" s="210">
        <v>0</v>
      </c>
      <c r="G17" s="210">
        <v>0</v>
      </c>
      <c r="H17" s="201" t="str">
        <f t="shared" si="1"/>
        <v/>
      </c>
      <c r="I17" s="210">
        <v>0</v>
      </c>
      <c r="J17" s="210">
        <v>0</v>
      </c>
      <c r="K17" s="210">
        <v>159</v>
      </c>
      <c r="L17" s="210">
        <v>142</v>
      </c>
      <c r="M17" s="201">
        <f t="shared" si="2"/>
        <v>0.89308176100628933</v>
      </c>
      <c r="N17" s="210">
        <v>5</v>
      </c>
      <c r="O17" s="210"/>
      <c r="P17" s="211"/>
      <c r="Q17" s="211">
        <v>0</v>
      </c>
      <c r="R17" s="201" t="str">
        <f t="shared" si="3"/>
        <v/>
      </c>
      <c r="S17" s="211"/>
      <c r="T17" s="211"/>
      <c r="U17" s="211">
        <v>1.5</v>
      </c>
      <c r="V17" s="211">
        <v>0.5</v>
      </c>
      <c r="W17" s="212"/>
      <c r="X17" s="212"/>
      <c r="Y17" s="212"/>
      <c r="Z17" s="212"/>
      <c r="AA17" s="212"/>
      <c r="AB17" s="212"/>
      <c r="AC17" s="212"/>
      <c r="AD17" s="212"/>
      <c r="AZ17" s="194"/>
      <c r="BA17" s="194"/>
    </row>
    <row r="18" spans="2:53" x14ac:dyDescent="0.25">
      <c r="B18" s="193">
        <f>EDATE(DATE(_Setup!$B$4,10,1),ROW()-ROW($B$11))</f>
        <v>46143</v>
      </c>
      <c r="C18" s="210">
        <v>5</v>
      </c>
      <c r="D18" s="210">
        <v>5</v>
      </c>
      <c r="E18" s="201">
        <f t="shared" si="0"/>
        <v>1</v>
      </c>
      <c r="F18" s="210">
        <v>0</v>
      </c>
      <c r="G18" s="210">
        <v>0</v>
      </c>
      <c r="H18" s="201" t="str">
        <f t="shared" si="1"/>
        <v/>
      </c>
      <c r="I18" s="210"/>
      <c r="J18" s="210"/>
      <c r="K18" s="210"/>
      <c r="L18" s="210"/>
      <c r="M18" s="201" t="str">
        <f t="shared" si="2"/>
        <v/>
      </c>
      <c r="N18" s="210"/>
      <c r="O18" s="210"/>
      <c r="P18" s="211"/>
      <c r="Q18" s="211"/>
      <c r="R18" s="201" t="str">
        <f t="shared" si="3"/>
        <v/>
      </c>
      <c r="S18" s="211"/>
      <c r="T18" s="211"/>
      <c r="U18" s="211">
        <v>2.5</v>
      </c>
      <c r="V18" s="211">
        <v>0</v>
      </c>
      <c r="W18" s="212"/>
      <c r="X18" s="212"/>
      <c r="Y18" s="212"/>
      <c r="Z18" s="212"/>
      <c r="AA18" s="212"/>
      <c r="AB18" s="212"/>
      <c r="AC18" s="212"/>
      <c r="AD18" s="212"/>
      <c r="AZ18" s="194"/>
      <c r="BA18" s="194"/>
    </row>
    <row r="19" spans="2:53" x14ac:dyDescent="0.25">
      <c r="B19" s="193">
        <f>EDATE(DATE(_Setup!$B$4,10,1),ROW()-ROW($B$11))</f>
        <v>46174</v>
      </c>
      <c r="C19" s="210">
        <v>3</v>
      </c>
      <c r="D19" s="210">
        <v>3</v>
      </c>
      <c r="E19" s="201">
        <f t="shared" si="0"/>
        <v>1</v>
      </c>
      <c r="F19" s="210">
        <v>0</v>
      </c>
      <c r="G19" s="210">
        <v>0</v>
      </c>
      <c r="H19" s="201" t="str">
        <f t="shared" si="1"/>
        <v/>
      </c>
      <c r="I19" s="210"/>
      <c r="J19" s="210"/>
      <c r="K19" s="210"/>
      <c r="L19" s="210"/>
      <c r="M19" s="201" t="str">
        <f t="shared" si="2"/>
        <v/>
      </c>
      <c r="N19" s="210"/>
      <c r="O19" s="210"/>
      <c r="P19" s="211"/>
      <c r="Q19" s="211"/>
      <c r="R19" s="201" t="str">
        <f t="shared" si="3"/>
        <v/>
      </c>
      <c r="S19" s="211"/>
      <c r="T19" s="211"/>
      <c r="U19" s="211">
        <v>3</v>
      </c>
      <c r="V19" s="211">
        <v>1.25</v>
      </c>
      <c r="W19" s="212"/>
      <c r="X19" s="212"/>
      <c r="Y19" s="212"/>
      <c r="Z19" s="212"/>
      <c r="AA19" s="212"/>
      <c r="AB19" s="212"/>
      <c r="AC19" s="212"/>
      <c r="AD19" s="212"/>
      <c r="AZ19" s="194"/>
      <c r="BA19" s="194"/>
    </row>
    <row r="20" spans="2:53" x14ac:dyDescent="0.25">
      <c r="B20" s="193">
        <f>EDATE(DATE(_Setup!$B$4,10,1),ROW()-ROW($B$11))</f>
        <v>46204</v>
      </c>
      <c r="C20" s="210">
        <v>18</v>
      </c>
      <c r="D20" s="210">
        <v>17</v>
      </c>
      <c r="E20" s="201">
        <f t="shared" si="0"/>
        <v>0.94444444444444442</v>
      </c>
      <c r="F20" s="210">
        <v>0</v>
      </c>
      <c r="G20" s="210">
        <v>0</v>
      </c>
      <c r="H20" s="201" t="str">
        <f t="shared" si="1"/>
        <v/>
      </c>
      <c r="I20" s="210"/>
      <c r="J20" s="210"/>
      <c r="K20" s="210"/>
      <c r="L20" s="210"/>
      <c r="M20" s="201" t="str">
        <f t="shared" si="2"/>
        <v/>
      </c>
      <c r="N20" s="210"/>
      <c r="O20" s="210"/>
      <c r="P20" s="211"/>
      <c r="Q20" s="211"/>
      <c r="R20" s="201" t="str">
        <f t="shared" si="3"/>
        <v/>
      </c>
      <c r="S20" s="211"/>
      <c r="T20" s="211"/>
      <c r="U20" s="211">
        <v>3</v>
      </c>
      <c r="V20" s="211">
        <v>2.25</v>
      </c>
      <c r="W20" s="212"/>
      <c r="X20" s="212"/>
      <c r="Y20" s="212"/>
      <c r="Z20" s="212"/>
      <c r="AA20" s="212"/>
      <c r="AB20" s="212"/>
      <c r="AC20" s="212"/>
      <c r="AD20" s="212"/>
      <c r="AZ20" s="194"/>
      <c r="BA20" s="194"/>
    </row>
    <row r="21" spans="2:53" x14ac:dyDescent="0.25">
      <c r="B21" s="193">
        <f>EDATE(DATE(_Setup!$B$4,10,1),ROW()-ROW($B$11))</f>
        <v>46235</v>
      </c>
      <c r="C21" s="210"/>
      <c r="D21" s="210"/>
      <c r="E21" s="201" t="str">
        <f t="shared" si="0"/>
        <v/>
      </c>
      <c r="F21" s="210"/>
      <c r="G21" s="210"/>
      <c r="H21" s="201" t="str">
        <f t="shared" si="1"/>
        <v/>
      </c>
      <c r="I21" s="210"/>
      <c r="J21" s="210"/>
      <c r="K21" s="210"/>
      <c r="L21" s="210"/>
      <c r="M21" s="201" t="str">
        <f t="shared" si="2"/>
        <v/>
      </c>
      <c r="N21" s="210"/>
      <c r="O21" s="210"/>
      <c r="P21" s="211"/>
      <c r="Q21" s="211"/>
      <c r="R21" s="201" t="str">
        <f t="shared" si="3"/>
        <v/>
      </c>
      <c r="S21" s="211"/>
      <c r="T21" s="211"/>
      <c r="U21" s="211"/>
      <c r="V21" s="211"/>
      <c r="W21" s="212"/>
      <c r="X21" s="212"/>
      <c r="Y21" s="212"/>
      <c r="Z21" s="212"/>
      <c r="AA21" s="212"/>
      <c r="AB21" s="212"/>
      <c r="AC21" s="212"/>
      <c r="AD21" s="212"/>
      <c r="AZ21" s="194"/>
      <c r="BA21" s="194"/>
    </row>
    <row r="22" spans="2:53" x14ac:dyDescent="0.25">
      <c r="B22" s="193">
        <f>EDATE(DATE(_Setup!$B$4,10,1),ROW()-ROW($B$11))</f>
        <v>46266</v>
      </c>
      <c r="C22" s="210"/>
      <c r="D22" s="210"/>
      <c r="E22" s="201" t="str">
        <f t="shared" si="0"/>
        <v/>
      </c>
      <c r="F22" s="210"/>
      <c r="G22" s="210"/>
      <c r="H22" s="201" t="str">
        <f t="shared" si="1"/>
        <v/>
      </c>
      <c r="I22" s="210"/>
      <c r="J22" s="210"/>
      <c r="K22" s="210"/>
      <c r="L22" s="210"/>
      <c r="M22" s="201" t="str">
        <f t="shared" si="2"/>
        <v/>
      </c>
      <c r="N22" s="210"/>
      <c r="O22" s="210"/>
      <c r="P22" s="211"/>
      <c r="Q22" s="211"/>
      <c r="R22" s="201" t="str">
        <f t="shared" si="3"/>
        <v/>
      </c>
      <c r="S22" s="211"/>
      <c r="T22" s="211"/>
      <c r="U22" s="211"/>
      <c r="V22" s="211"/>
      <c r="W22" s="212"/>
      <c r="X22" s="212"/>
      <c r="Y22" s="212"/>
      <c r="Z22" s="212"/>
      <c r="AA22" s="212"/>
      <c r="AB22" s="212"/>
      <c r="AC22" s="212"/>
      <c r="AD22" s="212"/>
      <c r="AZ22" s="194"/>
      <c r="BA22" s="194"/>
    </row>
    <row r="23" spans="2:53" x14ac:dyDescent="0.25">
      <c r="C23" s="283" t="s">
        <v>60</v>
      </c>
      <c r="D23" s="284"/>
      <c r="E23" s="284"/>
      <c r="F23" s="284"/>
      <c r="G23" s="284"/>
      <c r="H23" s="284"/>
      <c r="I23" s="284"/>
      <c r="J23" s="284"/>
      <c r="K23" s="284"/>
      <c r="L23" s="284"/>
      <c r="M23" s="284"/>
      <c r="N23" s="284"/>
      <c r="O23" s="285"/>
    </row>
    <row r="24" spans="2:53" ht="45" x14ac:dyDescent="0.25">
      <c r="B24" s="192" t="s">
        <v>61</v>
      </c>
      <c r="C24" s="192" t="s">
        <v>62</v>
      </c>
      <c r="D24" s="192" t="s">
        <v>63</v>
      </c>
      <c r="E24" s="192" t="s">
        <v>64</v>
      </c>
      <c r="F24" s="192" t="s">
        <v>65</v>
      </c>
      <c r="G24" s="192" t="s">
        <v>66</v>
      </c>
      <c r="H24" s="192" t="s">
        <v>67</v>
      </c>
      <c r="I24" s="192" t="s">
        <v>68</v>
      </c>
      <c r="J24" s="192" t="s">
        <v>69</v>
      </c>
      <c r="K24" s="192" t="s">
        <v>70</v>
      </c>
      <c r="L24" s="192" t="s">
        <v>71</v>
      </c>
      <c r="M24" s="192" t="s">
        <v>72</v>
      </c>
      <c r="N24" s="192" t="s">
        <v>73</v>
      </c>
      <c r="O24" s="192" t="s">
        <v>74</v>
      </c>
    </row>
    <row r="25" spans="2:53" x14ac:dyDescent="0.25">
      <c r="B25" s="193">
        <f>EDATE(DATE(_Setup!$B$4,10,1),ROW()-ROW($B$25))</f>
        <v>45931</v>
      </c>
      <c r="C25" s="210">
        <v>51</v>
      </c>
      <c r="D25" s="210">
        <v>34</v>
      </c>
      <c r="E25" s="201">
        <f t="shared" ref="E25:E36" si="4">IFERROR(D25/C25,"")</f>
        <v>0.66666666666666663</v>
      </c>
      <c r="F25" s="210">
        <v>0</v>
      </c>
      <c r="G25" s="210">
        <v>0</v>
      </c>
      <c r="H25" s="201" t="str">
        <f t="shared" ref="H25:H36" si="5">IFERROR(G25/F25,"")</f>
        <v/>
      </c>
      <c r="I25" s="210">
        <v>0</v>
      </c>
      <c r="J25" s="210">
        <v>0</v>
      </c>
      <c r="K25" s="210">
        <v>473</v>
      </c>
      <c r="L25" s="210">
        <v>414</v>
      </c>
      <c r="M25" s="201">
        <f t="shared" ref="M25:M36" si="6">IFERROR(L25/K25,"")</f>
        <v>0.87526427061310785</v>
      </c>
      <c r="N25" s="210">
        <v>8</v>
      </c>
      <c r="O25" s="210"/>
    </row>
    <row r="26" spans="2:53" x14ac:dyDescent="0.25">
      <c r="B26" s="193">
        <f>EDATE(DATE(_Setup!$B$4,10,1),ROW()-ROW($B$25))</f>
        <v>45962</v>
      </c>
      <c r="C26" s="210">
        <v>54</v>
      </c>
      <c r="D26" s="210">
        <v>35</v>
      </c>
      <c r="E26" s="201">
        <f t="shared" si="4"/>
        <v>0.64814814814814814</v>
      </c>
      <c r="F26" s="210">
        <v>0</v>
      </c>
      <c r="G26" s="210">
        <v>0</v>
      </c>
      <c r="H26" s="201" t="str">
        <f t="shared" si="5"/>
        <v/>
      </c>
      <c r="I26" s="210">
        <v>0</v>
      </c>
      <c r="J26" s="210">
        <v>0</v>
      </c>
      <c r="K26" s="210">
        <v>449</v>
      </c>
      <c r="L26" s="210">
        <v>389</v>
      </c>
      <c r="M26" s="201">
        <f t="shared" si="6"/>
        <v>0.86636971046770606</v>
      </c>
      <c r="N26" s="210">
        <v>0</v>
      </c>
      <c r="O26" s="210"/>
    </row>
    <row r="27" spans="2:53" x14ac:dyDescent="0.25">
      <c r="B27" s="193">
        <f>EDATE(DATE(_Setup!$B$4,10,1),ROW()-ROW($B$25))</f>
        <v>45992</v>
      </c>
      <c r="C27" s="210">
        <v>63</v>
      </c>
      <c r="D27" s="210">
        <v>42</v>
      </c>
      <c r="E27" s="201">
        <f t="shared" si="4"/>
        <v>0.66666666666666663</v>
      </c>
      <c r="F27" s="210">
        <v>0</v>
      </c>
      <c r="G27" s="210">
        <v>0</v>
      </c>
      <c r="H27" s="201" t="str">
        <f t="shared" si="5"/>
        <v/>
      </c>
      <c r="I27" s="210">
        <v>1</v>
      </c>
      <c r="J27" s="210">
        <v>2</v>
      </c>
      <c r="K27" s="210">
        <v>510</v>
      </c>
      <c r="L27" s="210">
        <v>411</v>
      </c>
      <c r="M27" s="201">
        <f t="shared" si="6"/>
        <v>0.80588235294117649</v>
      </c>
      <c r="N27" s="210">
        <v>1</v>
      </c>
      <c r="O27" s="210"/>
    </row>
    <row r="28" spans="2:53" x14ac:dyDescent="0.25">
      <c r="B28" s="193">
        <f>EDATE(DATE(_Setup!$B$4,10,1),ROW()-ROW($B$25))</f>
        <v>46023</v>
      </c>
      <c r="C28" s="210">
        <v>42</v>
      </c>
      <c r="D28" s="210">
        <v>34</v>
      </c>
      <c r="E28" s="201">
        <f t="shared" si="4"/>
        <v>0.80952380952380953</v>
      </c>
      <c r="F28" s="210">
        <v>0</v>
      </c>
      <c r="G28" s="210">
        <v>0</v>
      </c>
      <c r="H28" s="201" t="str">
        <f t="shared" si="5"/>
        <v/>
      </c>
      <c r="I28" s="210">
        <v>1</v>
      </c>
      <c r="J28" s="210">
        <v>1</v>
      </c>
      <c r="K28" s="210">
        <v>454</v>
      </c>
      <c r="L28" s="210">
        <v>376</v>
      </c>
      <c r="M28" s="201">
        <f t="shared" si="6"/>
        <v>0.82819383259911894</v>
      </c>
      <c r="N28" s="210">
        <v>2</v>
      </c>
      <c r="O28" s="210"/>
    </row>
    <row r="29" spans="2:53" x14ac:dyDescent="0.25">
      <c r="B29" s="193">
        <f>EDATE(DATE(_Setup!$B$4,10,1),ROW()-ROW($B$25))</f>
        <v>46054</v>
      </c>
      <c r="C29" s="210">
        <v>51</v>
      </c>
      <c r="D29" s="210">
        <v>40</v>
      </c>
      <c r="E29" s="201">
        <f t="shared" si="4"/>
        <v>0.78431372549019607</v>
      </c>
      <c r="F29" s="210">
        <v>1</v>
      </c>
      <c r="G29" s="210">
        <v>1</v>
      </c>
      <c r="H29" s="201">
        <f t="shared" si="5"/>
        <v>1</v>
      </c>
      <c r="I29" s="210">
        <v>2</v>
      </c>
      <c r="J29" s="210">
        <v>10</v>
      </c>
      <c r="K29" s="210">
        <v>442</v>
      </c>
      <c r="L29" s="210">
        <v>367</v>
      </c>
      <c r="M29" s="201">
        <f t="shared" si="6"/>
        <v>0.83031674208144801</v>
      </c>
      <c r="N29" s="210">
        <v>4</v>
      </c>
      <c r="O29" s="210"/>
    </row>
    <row r="30" spans="2:53" x14ac:dyDescent="0.25">
      <c r="B30" s="193">
        <f>EDATE(DATE(_Setup!$B$4,10,1),ROW()-ROW($B$25))</f>
        <v>46082</v>
      </c>
      <c r="C30" s="210">
        <v>46</v>
      </c>
      <c r="D30" s="210">
        <v>38</v>
      </c>
      <c r="E30" s="201">
        <f t="shared" si="4"/>
        <v>0.82608695652173914</v>
      </c>
      <c r="F30" s="210">
        <v>0</v>
      </c>
      <c r="G30" s="210">
        <v>0</v>
      </c>
      <c r="H30" s="201" t="str">
        <f t="shared" si="5"/>
        <v/>
      </c>
      <c r="I30" s="210">
        <v>2</v>
      </c>
      <c r="J30" s="210">
        <v>13</v>
      </c>
      <c r="K30" s="210">
        <v>486</v>
      </c>
      <c r="L30" s="210">
        <v>408</v>
      </c>
      <c r="M30" s="201">
        <f t="shared" si="6"/>
        <v>0.83950617283950613</v>
      </c>
      <c r="N30" s="210">
        <v>0</v>
      </c>
      <c r="O30" s="210"/>
    </row>
    <row r="31" spans="2:53" x14ac:dyDescent="0.25">
      <c r="B31" s="193">
        <f>EDATE(DATE(_Setup!$B$4,10,1),ROW()-ROW($B$25))</f>
        <v>46113</v>
      </c>
      <c r="C31" s="210">
        <v>66</v>
      </c>
      <c r="D31" s="210">
        <v>65</v>
      </c>
      <c r="E31" s="201">
        <f t="shared" si="4"/>
        <v>0.98484848484848486</v>
      </c>
      <c r="F31" s="210">
        <v>0</v>
      </c>
      <c r="G31" s="210">
        <v>0</v>
      </c>
      <c r="H31" s="201" t="str">
        <f t="shared" si="5"/>
        <v/>
      </c>
      <c r="I31" s="210">
        <v>0</v>
      </c>
      <c r="J31" s="210">
        <v>0</v>
      </c>
      <c r="K31" s="210">
        <v>470</v>
      </c>
      <c r="L31" s="210">
        <v>390</v>
      </c>
      <c r="M31" s="201">
        <f t="shared" si="6"/>
        <v>0.82978723404255317</v>
      </c>
      <c r="N31" s="210">
        <v>0</v>
      </c>
      <c r="O31" s="210"/>
    </row>
    <row r="32" spans="2:53" x14ac:dyDescent="0.25">
      <c r="B32" s="193">
        <f>EDATE(DATE(_Setup!$B$4,10,1),ROW()-ROW($B$25))</f>
        <v>46143</v>
      </c>
      <c r="C32" s="210">
        <v>48</v>
      </c>
      <c r="D32" s="210">
        <v>48</v>
      </c>
      <c r="E32" s="201">
        <f t="shared" si="4"/>
        <v>1</v>
      </c>
      <c r="F32" s="210">
        <v>0</v>
      </c>
      <c r="G32" s="210">
        <v>0</v>
      </c>
      <c r="H32" s="201" t="str">
        <f t="shared" si="5"/>
        <v/>
      </c>
      <c r="I32" s="210">
        <v>1</v>
      </c>
      <c r="J32" s="210">
        <v>11</v>
      </c>
      <c r="K32" s="210"/>
      <c r="L32" s="210"/>
      <c r="M32" s="201" t="str">
        <f t="shared" si="6"/>
        <v/>
      </c>
      <c r="N32" s="210"/>
      <c r="O32" s="210"/>
    </row>
    <row r="33" spans="2:15" x14ac:dyDescent="0.25">
      <c r="B33" s="193">
        <f>EDATE(DATE(_Setup!$B$4,10,1),ROW()-ROW($B$25))</f>
        <v>46174</v>
      </c>
      <c r="C33" s="210">
        <v>31</v>
      </c>
      <c r="D33" s="210">
        <v>31</v>
      </c>
      <c r="E33" s="201">
        <f t="shared" si="4"/>
        <v>1</v>
      </c>
      <c r="F33" s="210">
        <v>0</v>
      </c>
      <c r="G33" s="210">
        <v>0</v>
      </c>
      <c r="H33" s="201" t="str">
        <f t="shared" si="5"/>
        <v/>
      </c>
      <c r="I33" s="210"/>
      <c r="J33" s="210"/>
      <c r="K33" s="210"/>
      <c r="L33" s="210"/>
      <c r="M33" s="201" t="str">
        <f t="shared" si="6"/>
        <v/>
      </c>
      <c r="N33" s="210"/>
      <c r="O33" s="210"/>
    </row>
    <row r="34" spans="2:15" x14ac:dyDescent="0.25">
      <c r="B34" s="193">
        <f>EDATE(DATE(_Setup!$B$4,10,1),ROW()-ROW($B$25))</f>
        <v>46204</v>
      </c>
      <c r="C34" s="210">
        <v>47</v>
      </c>
      <c r="D34" s="210">
        <v>43</v>
      </c>
      <c r="E34" s="201">
        <f t="shared" si="4"/>
        <v>0.91489361702127658</v>
      </c>
      <c r="F34" s="210">
        <v>0</v>
      </c>
      <c r="G34" s="210">
        <v>0</v>
      </c>
      <c r="H34" s="201" t="str">
        <f t="shared" si="5"/>
        <v/>
      </c>
      <c r="I34" s="210"/>
      <c r="J34" s="210"/>
      <c r="K34" s="210"/>
      <c r="L34" s="210"/>
      <c r="M34" s="201" t="str">
        <f t="shared" si="6"/>
        <v/>
      </c>
      <c r="N34" s="210"/>
      <c r="O34" s="210"/>
    </row>
    <row r="35" spans="2:15" x14ac:dyDescent="0.25">
      <c r="B35" s="193">
        <f>EDATE(DATE(_Setup!$B$4,10,1),ROW()-ROW($B$25))</f>
        <v>46235</v>
      </c>
      <c r="C35" s="210"/>
      <c r="D35" s="210"/>
      <c r="E35" s="201" t="str">
        <f t="shared" si="4"/>
        <v/>
      </c>
      <c r="F35" s="210"/>
      <c r="G35" s="210"/>
      <c r="H35" s="201" t="str">
        <f t="shared" si="5"/>
        <v/>
      </c>
      <c r="I35" s="210"/>
      <c r="J35" s="210"/>
      <c r="K35" s="210"/>
      <c r="L35" s="210"/>
      <c r="M35" s="201" t="str">
        <f t="shared" si="6"/>
        <v/>
      </c>
      <c r="N35" s="210"/>
      <c r="O35" s="210"/>
    </row>
    <row r="36" spans="2:15" x14ac:dyDescent="0.25">
      <c r="B36" s="193">
        <f>EDATE(DATE(_Setup!$B$4,10,1),ROW()-ROW($B$25))</f>
        <v>46266</v>
      </c>
      <c r="C36" s="210"/>
      <c r="D36" s="210"/>
      <c r="E36" s="201" t="str">
        <f t="shared" si="4"/>
        <v/>
      </c>
      <c r="F36" s="210"/>
      <c r="G36" s="210"/>
      <c r="H36" s="201" t="str">
        <f t="shared" si="5"/>
        <v/>
      </c>
      <c r="I36" s="210"/>
      <c r="J36" s="210"/>
      <c r="K36" s="210"/>
      <c r="L36" s="210"/>
      <c r="M36" s="201" t="str">
        <f t="shared" si="6"/>
        <v/>
      </c>
      <c r="N36" s="210"/>
      <c r="O36" s="210"/>
    </row>
  </sheetData>
  <sheetProtection sheet="1" objects="1" scenarios="1" selectLockedCells="1"/>
  <mergeCells count="3">
    <mergeCell ref="C23:O23"/>
    <mergeCell ref="C8:O8"/>
    <mergeCell ref="A1:K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A36"/>
  <sheetViews>
    <sheetView topLeftCell="B8" workbookViewId="0">
      <selection activeCell="V20" sqref="V20"/>
    </sheetView>
  </sheetViews>
  <sheetFormatPr defaultColWidth="10.7109375" defaultRowHeight="15" x14ac:dyDescent="0.25"/>
  <cols>
    <col min="1" max="1" width="3.28515625" hidden="1" customWidth="1"/>
  </cols>
  <sheetData>
    <row r="1" spans="1:53" hidden="1" x14ac:dyDescent="0.25">
      <c r="A1" s="288" t="s">
        <v>92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x14ac:dyDescent="0.25">
      <c r="C8" s="286" t="s">
        <v>59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9" spans="1:53" hidden="1" x14ac:dyDescent="0.25"/>
    <row r="10" spans="1:53" ht="6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P10" s="192" t="s">
        <v>75</v>
      </c>
      <c r="Q10" s="192" t="s">
        <v>76</v>
      </c>
      <c r="R10" s="192" t="s">
        <v>77</v>
      </c>
      <c r="S10" s="192" t="s">
        <v>78</v>
      </c>
      <c r="T10" s="192" t="s">
        <v>79</v>
      </c>
      <c r="U10" s="192" t="s">
        <v>80</v>
      </c>
      <c r="V10" s="192" t="s">
        <v>81</v>
      </c>
      <c r="W10" s="209" t="s">
        <v>82</v>
      </c>
      <c r="X10" s="209" t="s">
        <v>83</v>
      </c>
      <c r="Y10" s="209" t="s">
        <v>84</v>
      </c>
      <c r="Z10" s="209" t="s">
        <v>85</v>
      </c>
      <c r="AA10" s="209" t="s">
        <v>86</v>
      </c>
      <c r="AB10" s="209" t="s">
        <v>87</v>
      </c>
      <c r="AC10" s="209" t="s">
        <v>88</v>
      </c>
      <c r="AD10" s="209" t="s">
        <v>89</v>
      </c>
      <c r="AZ10" s="192" t="s">
        <v>75</v>
      </c>
      <c r="BA10" s="192" t="s">
        <v>76</v>
      </c>
    </row>
    <row r="11" spans="1:53" x14ac:dyDescent="0.25">
      <c r="B11" s="193">
        <f>EDATE(DATE(_Setup!$B$4,10,1),ROW()-ROW($B$11))</f>
        <v>45931</v>
      </c>
      <c r="C11" s="210">
        <v>4</v>
      </c>
      <c r="D11" s="210">
        <v>0</v>
      </c>
      <c r="E11" s="201">
        <f t="shared" ref="E11:E22" si="0">IFERROR(D11/C11,"")</f>
        <v>0</v>
      </c>
      <c r="F11" s="210">
        <v>0</v>
      </c>
      <c r="G11" s="210">
        <v>0</v>
      </c>
      <c r="H11" s="201" t="str">
        <f t="shared" ref="H11:H22" si="1">IFERROR(G11/F11,"")</f>
        <v/>
      </c>
      <c r="I11" s="210">
        <v>3</v>
      </c>
      <c r="J11" s="210">
        <v>18</v>
      </c>
      <c r="K11" s="210">
        <v>55</v>
      </c>
      <c r="L11" s="210">
        <v>52</v>
      </c>
      <c r="M11" s="201">
        <f t="shared" ref="M11:M22" si="2">IFERROR(L11/K11,"")</f>
        <v>0.94545454545454544</v>
      </c>
      <c r="N11" s="210">
        <v>0</v>
      </c>
      <c r="O11" s="210">
        <v>0</v>
      </c>
      <c r="P11" s="211">
        <v>3</v>
      </c>
      <c r="Q11" s="211">
        <v>0</v>
      </c>
      <c r="R11" s="201">
        <f t="shared" ref="R11:R22" si="3">IFERROR(Q11/P11,"")</f>
        <v>0</v>
      </c>
      <c r="S11" s="211">
        <v>15</v>
      </c>
      <c r="T11" s="211"/>
      <c r="U11" s="211">
        <v>14</v>
      </c>
      <c r="V11" s="211">
        <v>0</v>
      </c>
      <c r="W11" s="212"/>
      <c r="X11" s="212"/>
      <c r="Y11" s="212"/>
      <c r="Z11" s="212"/>
      <c r="AA11" s="212"/>
      <c r="AB11" s="212"/>
      <c r="AC11" s="212"/>
      <c r="AD11" s="212"/>
      <c r="AZ11" s="194"/>
      <c r="BA11" s="194"/>
    </row>
    <row r="12" spans="1:53" x14ac:dyDescent="0.25">
      <c r="B12" s="193">
        <f>EDATE(DATE(_Setup!$B$4,10,1),ROW()-ROW($B$11))</f>
        <v>45962</v>
      </c>
      <c r="C12" s="210">
        <v>7</v>
      </c>
      <c r="D12" s="210">
        <v>1</v>
      </c>
      <c r="E12" s="201">
        <f t="shared" si="0"/>
        <v>0.14285714285714285</v>
      </c>
      <c r="F12" s="210">
        <v>0</v>
      </c>
      <c r="G12" s="210">
        <v>0</v>
      </c>
      <c r="H12" s="201" t="str">
        <f t="shared" si="1"/>
        <v/>
      </c>
      <c r="I12" s="210">
        <v>4</v>
      </c>
      <c r="J12" s="210">
        <v>21</v>
      </c>
      <c r="K12" s="210">
        <v>49</v>
      </c>
      <c r="L12" s="210">
        <v>43</v>
      </c>
      <c r="M12" s="201">
        <f t="shared" si="2"/>
        <v>0.87755102040816324</v>
      </c>
      <c r="N12" s="210">
        <v>0</v>
      </c>
      <c r="O12" s="210">
        <v>0</v>
      </c>
      <c r="P12" s="211">
        <v>3</v>
      </c>
      <c r="Q12" s="211">
        <v>0</v>
      </c>
      <c r="R12" s="201">
        <f t="shared" si="3"/>
        <v>0</v>
      </c>
      <c r="S12" s="211">
        <v>0</v>
      </c>
      <c r="T12" s="211"/>
      <c r="U12" s="211">
        <v>15</v>
      </c>
      <c r="V12" s="211">
        <v>0</v>
      </c>
      <c r="W12" s="212"/>
      <c r="X12" s="212"/>
      <c r="Y12" s="212"/>
      <c r="Z12" s="212"/>
      <c r="AA12" s="212"/>
      <c r="AB12" s="212"/>
      <c r="AC12" s="212"/>
      <c r="AD12" s="212"/>
      <c r="AZ12" s="194"/>
      <c r="BA12" s="194"/>
    </row>
    <row r="13" spans="1:53" x14ac:dyDescent="0.25">
      <c r="B13" s="193">
        <f>EDATE(DATE(_Setup!$B$4,10,1),ROW()-ROW($B$11))</f>
        <v>45992</v>
      </c>
      <c r="C13" s="210">
        <v>13</v>
      </c>
      <c r="D13" s="210">
        <v>2</v>
      </c>
      <c r="E13" s="201">
        <f t="shared" si="0"/>
        <v>0.15384615384615385</v>
      </c>
      <c r="F13" s="210">
        <v>0</v>
      </c>
      <c r="G13" s="210">
        <v>0</v>
      </c>
      <c r="H13" s="201" t="str">
        <f t="shared" si="1"/>
        <v/>
      </c>
      <c r="I13" s="210">
        <v>1</v>
      </c>
      <c r="J13" s="210">
        <v>14</v>
      </c>
      <c r="K13" s="210">
        <v>83</v>
      </c>
      <c r="L13" s="210">
        <v>75</v>
      </c>
      <c r="M13" s="201">
        <f t="shared" si="2"/>
        <v>0.90361445783132532</v>
      </c>
      <c r="N13" s="210">
        <v>0</v>
      </c>
      <c r="O13" s="210">
        <v>0</v>
      </c>
      <c r="P13" s="211">
        <v>3</v>
      </c>
      <c r="Q13" s="211">
        <v>0</v>
      </c>
      <c r="R13" s="201">
        <f t="shared" si="3"/>
        <v>0</v>
      </c>
      <c r="S13" s="211">
        <v>0</v>
      </c>
      <c r="T13" s="211"/>
      <c r="U13" s="211">
        <v>10.5</v>
      </c>
      <c r="V13" s="211">
        <v>0</v>
      </c>
      <c r="W13" s="212"/>
      <c r="X13" s="212"/>
      <c r="Y13" s="212"/>
      <c r="Z13" s="212"/>
      <c r="AA13" s="212"/>
      <c r="AB13" s="212"/>
      <c r="AC13" s="212"/>
      <c r="AD13" s="212"/>
      <c r="AZ13" s="194"/>
      <c r="BA13" s="194"/>
    </row>
    <row r="14" spans="1:53" x14ac:dyDescent="0.25">
      <c r="B14" s="193">
        <f>EDATE(DATE(_Setup!$B$4,10,1),ROW()-ROW($B$11))</f>
        <v>46023</v>
      </c>
      <c r="C14" s="210">
        <v>9</v>
      </c>
      <c r="D14" s="210">
        <v>0</v>
      </c>
      <c r="E14" s="201">
        <f t="shared" si="0"/>
        <v>0</v>
      </c>
      <c r="F14" s="210">
        <v>0</v>
      </c>
      <c r="G14" s="210">
        <v>0</v>
      </c>
      <c r="H14" s="201" t="str">
        <f t="shared" si="1"/>
        <v/>
      </c>
      <c r="I14" s="210">
        <v>0</v>
      </c>
      <c r="J14" s="210">
        <v>0</v>
      </c>
      <c r="K14" s="210">
        <v>69</v>
      </c>
      <c r="L14" s="210">
        <v>63</v>
      </c>
      <c r="M14" s="201">
        <f t="shared" si="2"/>
        <v>0.91304347826086951</v>
      </c>
      <c r="N14" s="210">
        <v>1</v>
      </c>
      <c r="O14" s="210">
        <v>0</v>
      </c>
      <c r="P14" s="211">
        <v>4</v>
      </c>
      <c r="Q14" s="211">
        <v>0</v>
      </c>
      <c r="R14" s="201">
        <f t="shared" si="3"/>
        <v>0</v>
      </c>
      <c r="S14" s="211">
        <v>7</v>
      </c>
      <c r="T14" s="211"/>
      <c r="U14" s="211">
        <v>11.5</v>
      </c>
      <c r="V14" s="211">
        <v>0</v>
      </c>
      <c r="W14" s="212"/>
      <c r="X14" s="212"/>
      <c r="Y14" s="212"/>
      <c r="Z14" s="212"/>
      <c r="AA14" s="212"/>
      <c r="AB14" s="212"/>
      <c r="AC14" s="212"/>
      <c r="AD14" s="212"/>
      <c r="AZ14" s="194"/>
      <c r="BA14" s="194"/>
    </row>
    <row r="15" spans="1:53" x14ac:dyDescent="0.25">
      <c r="B15" s="193">
        <f>EDATE(DATE(_Setup!$B$4,10,1),ROW()-ROW($B$11))</f>
        <v>46054</v>
      </c>
      <c r="C15" s="210">
        <v>11</v>
      </c>
      <c r="D15" s="210">
        <v>1</v>
      </c>
      <c r="E15" s="201">
        <f t="shared" si="0"/>
        <v>9.0909090909090912E-2</v>
      </c>
      <c r="F15" s="210">
        <v>1</v>
      </c>
      <c r="G15" s="210">
        <v>1</v>
      </c>
      <c r="H15" s="201">
        <f t="shared" si="1"/>
        <v>1</v>
      </c>
      <c r="I15" s="210">
        <v>0</v>
      </c>
      <c r="J15" s="210">
        <v>0</v>
      </c>
      <c r="K15" s="210">
        <v>94</v>
      </c>
      <c r="L15" s="210">
        <v>87</v>
      </c>
      <c r="M15" s="201">
        <f t="shared" si="2"/>
        <v>0.92553191489361697</v>
      </c>
      <c r="N15" s="210">
        <v>0</v>
      </c>
      <c r="O15" s="210">
        <v>0</v>
      </c>
      <c r="P15" s="211">
        <v>3</v>
      </c>
      <c r="Q15" s="211">
        <v>0</v>
      </c>
      <c r="R15" s="201">
        <f t="shared" si="3"/>
        <v>0</v>
      </c>
      <c r="S15" s="211">
        <v>8</v>
      </c>
      <c r="T15" s="211"/>
      <c r="U15" s="211">
        <v>10</v>
      </c>
      <c r="V15" s="211">
        <v>0</v>
      </c>
      <c r="W15" s="212"/>
      <c r="X15" s="212"/>
      <c r="Y15" s="212"/>
      <c r="Z15" s="212"/>
      <c r="AA15" s="212"/>
      <c r="AB15" s="212"/>
      <c r="AC15" s="212"/>
      <c r="AD15" s="212"/>
      <c r="AZ15" s="194"/>
      <c r="BA15" s="194"/>
    </row>
    <row r="16" spans="1:53" x14ac:dyDescent="0.25">
      <c r="B16" s="193">
        <f>EDATE(DATE(_Setup!$B$4,10,1),ROW()-ROW($B$11))</f>
        <v>46082</v>
      </c>
      <c r="C16" s="210">
        <v>4</v>
      </c>
      <c r="D16" s="210">
        <v>3</v>
      </c>
      <c r="E16" s="201">
        <f t="shared" si="0"/>
        <v>0.75</v>
      </c>
      <c r="F16" s="210">
        <v>0</v>
      </c>
      <c r="G16" s="210">
        <v>0</v>
      </c>
      <c r="H16" s="201" t="str">
        <f t="shared" si="1"/>
        <v/>
      </c>
      <c r="I16" s="210">
        <v>0</v>
      </c>
      <c r="J16" s="210">
        <v>0</v>
      </c>
      <c r="K16" s="210">
        <v>96</v>
      </c>
      <c r="L16" s="210">
        <v>89</v>
      </c>
      <c r="M16" s="201">
        <f t="shared" si="2"/>
        <v>0.92708333333333337</v>
      </c>
      <c r="N16" s="210">
        <v>1</v>
      </c>
      <c r="O16" s="210">
        <v>0</v>
      </c>
      <c r="P16" s="211">
        <v>3</v>
      </c>
      <c r="Q16" s="211">
        <v>0</v>
      </c>
      <c r="R16" s="201">
        <f t="shared" si="3"/>
        <v>0</v>
      </c>
      <c r="S16" s="211">
        <v>0</v>
      </c>
      <c r="T16" s="211">
        <v>6</v>
      </c>
      <c r="U16" s="211">
        <v>0.5</v>
      </c>
      <c r="V16" s="211">
        <v>0</v>
      </c>
      <c r="W16" s="212"/>
      <c r="X16" s="212"/>
      <c r="Y16" s="212"/>
      <c r="Z16" s="212"/>
      <c r="AA16" s="212"/>
      <c r="AB16" s="212"/>
      <c r="AC16" s="212"/>
      <c r="AD16" s="212"/>
      <c r="AZ16" s="194"/>
      <c r="BA16" s="194"/>
    </row>
    <row r="17" spans="2:53" x14ac:dyDescent="0.25">
      <c r="B17" s="193">
        <f>EDATE(DATE(_Setup!$B$4,10,1),ROW()-ROW($B$11))</f>
        <v>46113</v>
      </c>
      <c r="C17" s="210">
        <v>15</v>
      </c>
      <c r="D17" s="210">
        <v>14</v>
      </c>
      <c r="E17" s="201">
        <f t="shared" si="0"/>
        <v>0.93333333333333335</v>
      </c>
      <c r="F17" s="210">
        <v>0</v>
      </c>
      <c r="G17" s="210">
        <v>0</v>
      </c>
      <c r="H17" s="201" t="str">
        <f t="shared" si="1"/>
        <v/>
      </c>
      <c r="I17" s="210">
        <v>0</v>
      </c>
      <c r="J17" s="210">
        <v>0</v>
      </c>
      <c r="K17" s="210">
        <v>93</v>
      </c>
      <c r="L17" s="210">
        <v>90</v>
      </c>
      <c r="M17" s="201">
        <f t="shared" si="2"/>
        <v>0.967741935483871</v>
      </c>
      <c r="N17" s="210">
        <v>0</v>
      </c>
      <c r="O17" s="210">
        <v>0</v>
      </c>
      <c r="P17" s="211">
        <v>3</v>
      </c>
      <c r="Q17" s="211">
        <v>0</v>
      </c>
      <c r="R17" s="201">
        <f t="shared" si="3"/>
        <v>0</v>
      </c>
      <c r="S17" s="211">
        <v>0</v>
      </c>
      <c r="T17" s="211">
        <v>5</v>
      </c>
      <c r="U17" s="211">
        <v>0</v>
      </c>
      <c r="V17" s="211">
        <v>0</v>
      </c>
      <c r="W17" s="212"/>
      <c r="X17" s="212"/>
      <c r="Y17" s="212"/>
      <c r="Z17" s="212"/>
      <c r="AA17" s="212"/>
      <c r="AB17" s="212"/>
      <c r="AC17" s="212"/>
      <c r="AD17" s="212"/>
      <c r="AZ17" s="194"/>
      <c r="BA17" s="194"/>
    </row>
    <row r="18" spans="2:53" x14ac:dyDescent="0.25">
      <c r="B18" s="193">
        <f>EDATE(DATE(_Setup!$B$4,10,1),ROW()-ROW($B$11))</f>
        <v>46143</v>
      </c>
      <c r="C18" s="210">
        <v>10</v>
      </c>
      <c r="D18" s="210">
        <v>9</v>
      </c>
      <c r="E18" s="201">
        <f t="shared" si="0"/>
        <v>0.9</v>
      </c>
      <c r="F18" s="210">
        <v>0</v>
      </c>
      <c r="G18" s="210">
        <v>0</v>
      </c>
      <c r="H18" s="201" t="str">
        <f t="shared" si="1"/>
        <v/>
      </c>
      <c r="I18" s="210">
        <v>0</v>
      </c>
      <c r="J18" s="210">
        <v>0</v>
      </c>
      <c r="K18" s="210">
        <v>82</v>
      </c>
      <c r="L18" s="210">
        <v>73</v>
      </c>
      <c r="M18" s="201">
        <f t="shared" si="2"/>
        <v>0.8902439024390244</v>
      </c>
      <c r="N18" s="210">
        <v>0</v>
      </c>
      <c r="O18" s="210">
        <v>0</v>
      </c>
      <c r="P18" s="211">
        <v>3</v>
      </c>
      <c r="Q18" s="211">
        <v>0</v>
      </c>
      <c r="R18" s="201">
        <f t="shared" si="3"/>
        <v>0</v>
      </c>
      <c r="S18" s="211">
        <v>0</v>
      </c>
      <c r="T18" s="211"/>
      <c r="U18" s="211">
        <v>0.25</v>
      </c>
      <c r="V18" s="211">
        <v>0</v>
      </c>
      <c r="W18" s="212"/>
      <c r="X18" s="212"/>
      <c r="Y18" s="212"/>
      <c r="Z18" s="212"/>
      <c r="AA18" s="212"/>
      <c r="AB18" s="212"/>
      <c r="AC18" s="212"/>
      <c r="AD18" s="212"/>
      <c r="AZ18" s="194"/>
      <c r="BA18" s="194"/>
    </row>
    <row r="19" spans="2:53" x14ac:dyDescent="0.25">
      <c r="B19" s="193">
        <f>EDATE(DATE(_Setup!$B$4,10,1),ROW()-ROW($B$11))</f>
        <v>46174</v>
      </c>
      <c r="C19" s="210">
        <v>4</v>
      </c>
      <c r="D19" s="210">
        <v>4</v>
      </c>
      <c r="E19" s="201">
        <f t="shared" si="0"/>
        <v>1</v>
      </c>
      <c r="F19" s="210">
        <v>1</v>
      </c>
      <c r="G19" s="210">
        <v>1</v>
      </c>
      <c r="H19" s="201">
        <f t="shared" si="1"/>
        <v>1</v>
      </c>
      <c r="I19" s="210"/>
      <c r="J19" s="210"/>
      <c r="K19" s="210"/>
      <c r="L19" s="210"/>
      <c r="M19" s="201" t="str">
        <f t="shared" si="2"/>
        <v/>
      </c>
      <c r="N19" s="210"/>
      <c r="O19" s="210"/>
      <c r="P19" s="211">
        <v>3</v>
      </c>
      <c r="Q19" s="211">
        <v>0</v>
      </c>
      <c r="R19" s="201">
        <f t="shared" si="3"/>
        <v>0</v>
      </c>
      <c r="S19" s="211">
        <v>0</v>
      </c>
      <c r="T19" s="211"/>
      <c r="U19" s="211">
        <v>0</v>
      </c>
      <c r="V19" s="211">
        <v>0</v>
      </c>
      <c r="W19" s="212"/>
      <c r="X19" s="212"/>
      <c r="Y19" s="212"/>
      <c r="Z19" s="212"/>
      <c r="AA19" s="212"/>
      <c r="AB19" s="212"/>
      <c r="AC19" s="212"/>
      <c r="AD19" s="212"/>
      <c r="AZ19" s="194"/>
      <c r="BA19" s="194"/>
    </row>
    <row r="20" spans="2:53" x14ac:dyDescent="0.25">
      <c r="B20" s="193">
        <f>EDATE(DATE(_Setup!$B$4,10,1),ROW()-ROW($B$11))</f>
        <v>46204</v>
      </c>
      <c r="C20" s="210">
        <v>6</v>
      </c>
      <c r="D20" s="210">
        <v>6</v>
      </c>
      <c r="E20" s="201">
        <f t="shared" si="0"/>
        <v>1</v>
      </c>
      <c r="F20" s="210">
        <v>1</v>
      </c>
      <c r="G20" s="210">
        <v>1</v>
      </c>
      <c r="H20" s="201">
        <f t="shared" si="1"/>
        <v>1</v>
      </c>
      <c r="I20" s="210"/>
      <c r="J20" s="210"/>
      <c r="K20" s="210"/>
      <c r="L20" s="210"/>
      <c r="M20" s="201" t="str">
        <f t="shared" si="2"/>
        <v/>
      </c>
      <c r="N20" s="210"/>
      <c r="O20" s="210"/>
      <c r="P20" s="211"/>
      <c r="Q20" s="211"/>
      <c r="R20" s="201" t="str">
        <f t="shared" si="3"/>
        <v/>
      </c>
      <c r="S20" s="211"/>
      <c r="T20" s="211"/>
      <c r="U20" s="211">
        <v>0</v>
      </c>
      <c r="V20" s="211">
        <v>0</v>
      </c>
      <c r="W20" s="212"/>
      <c r="X20" s="212"/>
      <c r="Y20" s="212"/>
      <c r="Z20" s="212"/>
      <c r="AA20" s="212"/>
      <c r="AB20" s="212"/>
      <c r="AC20" s="212"/>
      <c r="AD20" s="212"/>
      <c r="AZ20" s="194"/>
      <c r="BA20" s="194"/>
    </row>
    <row r="21" spans="2:53" x14ac:dyDescent="0.25">
      <c r="B21" s="193">
        <f>EDATE(DATE(_Setup!$B$4,10,1),ROW()-ROW($B$11))</f>
        <v>46235</v>
      </c>
      <c r="C21" s="210"/>
      <c r="D21" s="210"/>
      <c r="E21" s="201" t="str">
        <f t="shared" si="0"/>
        <v/>
      </c>
      <c r="F21" s="210"/>
      <c r="G21" s="210"/>
      <c r="H21" s="201" t="str">
        <f t="shared" si="1"/>
        <v/>
      </c>
      <c r="I21" s="210"/>
      <c r="J21" s="210"/>
      <c r="K21" s="210"/>
      <c r="L21" s="210"/>
      <c r="M21" s="201" t="str">
        <f t="shared" si="2"/>
        <v/>
      </c>
      <c r="N21" s="210"/>
      <c r="O21" s="210"/>
      <c r="P21" s="211"/>
      <c r="Q21" s="211"/>
      <c r="R21" s="201" t="str">
        <f t="shared" si="3"/>
        <v/>
      </c>
      <c r="S21" s="211"/>
      <c r="T21" s="211"/>
      <c r="U21" s="211"/>
      <c r="V21" s="211"/>
      <c r="W21" s="212"/>
      <c r="X21" s="212"/>
      <c r="Y21" s="212"/>
      <c r="Z21" s="212"/>
      <c r="AA21" s="212"/>
      <c r="AB21" s="212"/>
      <c r="AC21" s="212"/>
      <c r="AD21" s="212"/>
      <c r="AZ21" s="194"/>
      <c r="BA21" s="194"/>
    </row>
    <row r="22" spans="2:53" x14ac:dyDescent="0.25">
      <c r="B22" s="193">
        <f>EDATE(DATE(_Setup!$B$4,10,1),ROW()-ROW($B$11))</f>
        <v>46266</v>
      </c>
      <c r="C22" s="210"/>
      <c r="D22" s="210"/>
      <c r="E22" s="201" t="str">
        <f t="shared" si="0"/>
        <v/>
      </c>
      <c r="F22" s="210"/>
      <c r="G22" s="210"/>
      <c r="H22" s="201" t="str">
        <f t="shared" si="1"/>
        <v/>
      </c>
      <c r="I22" s="210"/>
      <c r="J22" s="210"/>
      <c r="K22" s="210"/>
      <c r="L22" s="210"/>
      <c r="M22" s="201" t="str">
        <f t="shared" si="2"/>
        <v/>
      </c>
      <c r="N22" s="210"/>
      <c r="O22" s="210"/>
      <c r="P22" s="211"/>
      <c r="Q22" s="211"/>
      <c r="R22" s="201" t="str">
        <f t="shared" si="3"/>
        <v/>
      </c>
      <c r="S22" s="211"/>
      <c r="T22" s="211"/>
      <c r="U22" s="211"/>
      <c r="V22" s="211"/>
      <c r="W22" s="212"/>
      <c r="X22" s="212"/>
      <c r="Y22" s="212"/>
      <c r="Z22" s="212"/>
      <c r="AA22" s="212"/>
      <c r="AB22" s="212"/>
      <c r="AC22" s="212"/>
      <c r="AD22" s="212"/>
      <c r="AZ22" s="194"/>
      <c r="BA22" s="194"/>
    </row>
    <row r="23" spans="2:53" x14ac:dyDescent="0.25">
      <c r="C23" s="283" t="s">
        <v>60</v>
      </c>
      <c r="D23" s="284"/>
      <c r="E23" s="284"/>
      <c r="F23" s="284"/>
      <c r="G23" s="284"/>
      <c r="H23" s="284"/>
      <c r="I23" s="284"/>
      <c r="J23" s="284"/>
      <c r="K23" s="284"/>
      <c r="L23" s="284"/>
      <c r="M23" s="284"/>
      <c r="N23" s="284"/>
      <c r="O23" s="285"/>
    </row>
    <row r="24" spans="2:53" ht="45" x14ac:dyDescent="0.25">
      <c r="B24" s="192" t="s">
        <v>61</v>
      </c>
      <c r="C24" s="192" t="s">
        <v>62</v>
      </c>
      <c r="D24" s="192" t="s">
        <v>63</v>
      </c>
      <c r="E24" s="192" t="s">
        <v>64</v>
      </c>
      <c r="F24" s="192" t="s">
        <v>65</v>
      </c>
      <c r="G24" s="192" t="s">
        <v>66</v>
      </c>
      <c r="H24" s="192" t="s">
        <v>67</v>
      </c>
      <c r="I24" s="192" t="s">
        <v>68</v>
      </c>
      <c r="J24" s="192" t="s">
        <v>69</v>
      </c>
      <c r="K24" s="192" t="s">
        <v>70</v>
      </c>
      <c r="L24" s="192" t="s">
        <v>71</v>
      </c>
      <c r="M24" s="192" t="s">
        <v>72</v>
      </c>
      <c r="N24" s="192" t="s">
        <v>73</v>
      </c>
      <c r="O24" s="192" t="s">
        <v>74</v>
      </c>
    </row>
    <row r="25" spans="2:53" x14ac:dyDescent="0.25">
      <c r="B25" s="193">
        <f>EDATE(DATE(_Setup!$B$4,10,1),ROW()-ROW($B$25))</f>
        <v>45931</v>
      </c>
      <c r="C25" s="210">
        <v>53</v>
      </c>
      <c r="D25" s="210">
        <v>15</v>
      </c>
      <c r="E25" s="201">
        <f t="shared" ref="E25:E36" si="4">IFERROR(D25/C25,"")</f>
        <v>0.28301886792452829</v>
      </c>
      <c r="F25" s="210">
        <v>2</v>
      </c>
      <c r="G25" s="210">
        <v>2</v>
      </c>
      <c r="H25" s="201">
        <f t="shared" ref="H25:H36" si="5">IFERROR(G25/F25,"")</f>
        <v>1</v>
      </c>
      <c r="I25" s="210">
        <v>0</v>
      </c>
      <c r="J25" s="210">
        <v>0</v>
      </c>
      <c r="K25" s="210">
        <v>339</v>
      </c>
      <c r="L25" s="210">
        <v>313</v>
      </c>
      <c r="M25" s="201">
        <f t="shared" ref="M25:M36" si="6">IFERROR(L25/K25,"")</f>
        <v>0.92330383480825962</v>
      </c>
      <c r="N25" s="210">
        <v>5</v>
      </c>
      <c r="O25" s="210">
        <v>0</v>
      </c>
    </row>
    <row r="26" spans="2:53" x14ac:dyDescent="0.25">
      <c r="B26" s="193">
        <f>EDATE(DATE(_Setup!$B$4,10,1),ROW()-ROW($B$25))</f>
        <v>45962</v>
      </c>
      <c r="C26" s="210">
        <v>28</v>
      </c>
      <c r="D26" s="210">
        <v>9</v>
      </c>
      <c r="E26" s="201">
        <f t="shared" si="4"/>
        <v>0.32142857142857145</v>
      </c>
      <c r="F26" s="210">
        <v>0</v>
      </c>
      <c r="G26" s="210">
        <v>0</v>
      </c>
      <c r="H26" s="201" t="str">
        <f t="shared" si="5"/>
        <v/>
      </c>
      <c r="I26" s="210">
        <v>1</v>
      </c>
      <c r="J26" s="210">
        <v>12</v>
      </c>
      <c r="K26" s="210">
        <v>254</v>
      </c>
      <c r="L26" s="210">
        <v>225</v>
      </c>
      <c r="M26" s="201">
        <f t="shared" si="6"/>
        <v>0.88582677165354329</v>
      </c>
      <c r="N26" s="210">
        <v>0</v>
      </c>
      <c r="O26" s="210">
        <v>0</v>
      </c>
    </row>
    <row r="27" spans="2:53" x14ac:dyDescent="0.25">
      <c r="B27" s="193">
        <f>EDATE(DATE(_Setup!$B$4,10,1),ROW()-ROW($B$25))</f>
        <v>45992</v>
      </c>
      <c r="C27" s="210">
        <v>37</v>
      </c>
      <c r="D27" s="210">
        <v>11</v>
      </c>
      <c r="E27" s="201">
        <f t="shared" si="4"/>
        <v>0.29729729729729731</v>
      </c>
      <c r="F27" s="210">
        <v>3</v>
      </c>
      <c r="G27" s="210">
        <v>3</v>
      </c>
      <c r="H27" s="201">
        <f t="shared" si="5"/>
        <v>1</v>
      </c>
      <c r="I27" s="210">
        <v>1</v>
      </c>
      <c r="J27" s="210">
        <v>2</v>
      </c>
      <c r="K27" s="210">
        <v>311</v>
      </c>
      <c r="L27" s="210">
        <v>283</v>
      </c>
      <c r="M27" s="201">
        <f t="shared" si="6"/>
        <v>0.909967845659164</v>
      </c>
      <c r="N27" s="210">
        <v>0</v>
      </c>
      <c r="O27" s="210">
        <v>0</v>
      </c>
    </row>
    <row r="28" spans="2:53" x14ac:dyDescent="0.25">
      <c r="B28" s="193">
        <f>EDATE(DATE(_Setup!$B$4,10,1),ROW()-ROW($B$25))</f>
        <v>46023</v>
      </c>
      <c r="C28" s="210">
        <v>48</v>
      </c>
      <c r="D28" s="210">
        <v>11</v>
      </c>
      <c r="E28" s="201">
        <f t="shared" si="4"/>
        <v>0.22916666666666666</v>
      </c>
      <c r="F28" s="210">
        <v>1</v>
      </c>
      <c r="G28" s="210">
        <v>1</v>
      </c>
      <c r="H28" s="201">
        <f t="shared" si="5"/>
        <v>1</v>
      </c>
      <c r="I28" s="210">
        <v>2</v>
      </c>
      <c r="J28" s="210">
        <v>2</v>
      </c>
      <c r="K28" s="210">
        <v>287</v>
      </c>
      <c r="L28" s="210">
        <v>255</v>
      </c>
      <c r="M28" s="201">
        <f t="shared" si="6"/>
        <v>0.88850174216027877</v>
      </c>
      <c r="N28" s="210">
        <v>6</v>
      </c>
      <c r="O28" s="210">
        <v>0</v>
      </c>
    </row>
    <row r="29" spans="2:53" x14ac:dyDescent="0.25">
      <c r="B29" s="193">
        <f>EDATE(DATE(_Setup!$B$4,10,1),ROW()-ROW($B$25))</f>
        <v>46054</v>
      </c>
      <c r="C29" s="210">
        <v>35</v>
      </c>
      <c r="D29" s="210">
        <v>18</v>
      </c>
      <c r="E29" s="201">
        <f t="shared" si="4"/>
        <v>0.51428571428571423</v>
      </c>
      <c r="F29" s="210">
        <v>4</v>
      </c>
      <c r="G29" s="210">
        <v>2</v>
      </c>
      <c r="H29" s="201">
        <f t="shared" si="5"/>
        <v>0.5</v>
      </c>
      <c r="I29" s="210">
        <v>1</v>
      </c>
      <c r="J29" s="210">
        <v>2</v>
      </c>
      <c r="K29" s="210">
        <v>258</v>
      </c>
      <c r="L29" s="210">
        <v>213</v>
      </c>
      <c r="M29" s="201">
        <f t="shared" si="6"/>
        <v>0.82558139534883723</v>
      </c>
      <c r="N29" s="210">
        <v>3</v>
      </c>
      <c r="O29" s="210">
        <v>1</v>
      </c>
    </row>
    <row r="30" spans="2:53" x14ac:dyDescent="0.25">
      <c r="B30" s="193">
        <f>EDATE(DATE(_Setup!$B$4,10,1),ROW()-ROW($B$25))</f>
        <v>46082</v>
      </c>
      <c r="C30" s="210">
        <v>36</v>
      </c>
      <c r="D30" s="210">
        <v>35</v>
      </c>
      <c r="E30" s="201">
        <f t="shared" si="4"/>
        <v>0.97222222222222221</v>
      </c>
      <c r="F30" s="210">
        <v>0</v>
      </c>
      <c r="G30" s="210">
        <v>0</v>
      </c>
      <c r="H30" s="201" t="str">
        <f t="shared" si="5"/>
        <v/>
      </c>
      <c r="I30" s="210">
        <v>2</v>
      </c>
      <c r="J30" s="210">
        <v>14</v>
      </c>
      <c r="K30" s="210">
        <v>217</v>
      </c>
      <c r="L30" s="210">
        <v>190</v>
      </c>
      <c r="M30" s="201">
        <f t="shared" si="6"/>
        <v>0.87557603686635943</v>
      </c>
      <c r="N30" s="210">
        <v>3</v>
      </c>
      <c r="O30" s="210">
        <v>0</v>
      </c>
    </row>
    <row r="31" spans="2:53" x14ac:dyDescent="0.25">
      <c r="B31" s="193">
        <f>EDATE(DATE(_Setup!$B$4,10,1),ROW()-ROW($B$25))</f>
        <v>46113</v>
      </c>
      <c r="C31" s="210">
        <v>54</v>
      </c>
      <c r="D31" s="210">
        <v>54</v>
      </c>
      <c r="E31" s="201">
        <f t="shared" si="4"/>
        <v>1</v>
      </c>
      <c r="F31" s="210">
        <v>0</v>
      </c>
      <c r="G31" s="210">
        <v>0</v>
      </c>
      <c r="H31" s="201" t="str">
        <f t="shared" si="5"/>
        <v/>
      </c>
      <c r="I31" s="210">
        <v>0</v>
      </c>
      <c r="J31" s="210">
        <v>0</v>
      </c>
      <c r="K31" s="210">
        <v>256</v>
      </c>
      <c r="L31" s="210">
        <v>212</v>
      </c>
      <c r="M31" s="201">
        <f t="shared" si="6"/>
        <v>0.828125</v>
      </c>
      <c r="N31" s="210">
        <v>2</v>
      </c>
      <c r="O31" s="210">
        <v>0</v>
      </c>
    </row>
    <row r="32" spans="2:53" x14ac:dyDescent="0.25">
      <c r="B32" s="193">
        <f>EDATE(DATE(_Setup!$B$4,10,1),ROW()-ROW($B$25))</f>
        <v>46143</v>
      </c>
      <c r="C32" s="210">
        <v>31</v>
      </c>
      <c r="D32" s="210">
        <v>31</v>
      </c>
      <c r="E32" s="201">
        <f t="shared" si="4"/>
        <v>1</v>
      </c>
      <c r="F32" s="210">
        <v>0</v>
      </c>
      <c r="G32" s="210">
        <v>0</v>
      </c>
      <c r="H32" s="201" t="str">
        <f t="shared" si="5"/>
        <v/>
      </c>
      <c r="I32" s="210">
        <v>0</v>
      </c>
      <c r="J32" s="210">
        <v>0</v>
      </c>
      <c r="K32" s="210">
        <v>215</v>
      </c>
      <c r="L32" s="210">
        <v>184</v>
      </c>
      <c r="M32" s="201">
        <f t="shared" si="6"/>
        <v>0.85581395348837208</v>
      </c>
      <c r="N32" s="210">
        <v>3</v>
      </c>
      <c r="O32" s="210"/>
    </row>
    <row r="33" spans="2:15" x14ac:dyDescent="0.25">
      <c r="B33" s="193">
        <f>EDATE(DATE(_Setup!$B$4,10,1),ROW()-ROW($B$25))</f>
        <v>46174</v>
      </c>
      <c r="C33" s="210">
        <v>28</v>
      </c>
      <c r="D33" s="210">
        <v>26</v>
      </c>
      <c r="E33" s="201">
        <f t="shared" si="4"/>
        <v>0.9285714285714286</v>
      </c>
      <c r="F33" s="210">
        <v>0</v>
      </c>
      <c r="G33" s="210">
        <v>0</v>
      </c>
      <c r="H33" s="201" t="str">
        <f t="shared" si="5"/>
        <v/>
      </c>
      <c r="I33" s="210"/>
      <c r="J33" s="210"/>
      <c r="K33" s="210"/>
      <c r="L33" s="210"/>
      <c r="M33" s="201" t="str">
        <f t="shared" si="6"/>
        <v/>
      </c>
      <c r="N33" s="210"/>
      <c r="O33" s="210"/>
    </row>
    <row r="34" spans="2:15" x14ac:dyDescent="0.25">
      <c r="B34" s="193">
        <f>EDATE(DATE(_Setup!$B$4,10,1),ROW()-ROW($B$25))</f>
        <v>46204</v>
      </c>
      <c r="C34" s="210">
        <v>19</v>
      </c>
      <c r="D34" s="210">
        <v>19</v>
      </c>
      <c r="E34" s="201">
        <f t="shared" si="4"/>
        <v>1</v>
      </c>
      <c r="F34" s="210">
        <v>0</v>
      </c>
      <c r="G34" s="210">
        <v>0</v>
      </c>
      <c r="H34" s="201" t="str">
        <f t="shared" si="5"/>
        <v/>
      </c>
      <c r="I34" s="210"/>
      <c r="J34" s="210"/>
      <c r="K34" s="210"/>
      <c r="L34" s="210"/>
      <c r="M34" s="201" t="str">
        <f t="shared" si="6"/>
        <v/>
      </c>
      <c r="N34" s="210"/>
      <c r="O34" s="210"/>
    </row>
    <row r="35" spans="2:15" x14ac:dyDescent="0.25">
      <c r="B35" s="193">
        <f>EDATE(DATE(_Setup!$B$4,10,1),ROW()-ROW($B$25))</f>
        <v>46235</v>
      </c>
      <c r="C35" s="210"/>
      <c r="D35" s="210"/>
      <c r="E35" s="201" t="str">
        <f t="shared" si="4"/>
        <v/>
      </c>
      <c r="F35" s="210"/>
      <c r="G35" s="210"/>
      <c r="H35" s="201" t="str">
        <f t="shared" si="5"/>
        <v/>
      </c>
      <c r="I35" s="210"/>
      <c r="J35" s="210"/>
      <c r="K35" s="210"/>
      <c r="L35" s="210"/>
      <c r="M35" s="201" t="str">
        <f t="shared" si="6"/>
        <v/>
      </c>
      <c r="N35" s="210"/>
      <c r="O35" s="210"/>
    </row>
    <row r="36" spans="2:15" x14ac:dyDescent="0.25">
      <c r="B36" s="193">
        <f>EDATE(DATE(_Setup!$B$4,10,1),ROW()-ROW($B$25))</f>
        <v>46266</v>
      </c>
      <c r="C36" s="210"/>
      <c r="D36" s="210"/>
      <c r="E36" s="201" t="str">
        <f t="shared" si="4"/>
        <v/>
      </c>
      <c r="F36" s="210"/>
      <c r="G36" s="210"/>
      <c r="H36" s="201" t="str">
        <f t="shared" si="5"/>
        <v/>
      </c>
      <c r="I36" s="210"/>
      <c r="J36" s="210"/>
      <c r="K36" s="210"/>
      <c r="L36" s="210"/>
      <c r="M36" s="201" t="str">
        <f t="shared" si="6"/>
        <v/>
      </c>
      <c r="N36" s="210"/>
      <c r="O36" s="210"/>
    </row>
  </sheetData>
  <sheetProtection sheet="1" objects="1" scenarios="1" selectLockedCells="1"/>
  <mergeCells count="3">
    <mergeCell ref="C23:O23"/>
    <mergeCell ref="C8:O8"/>
    <mergeCell ref="A1: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22"/>
  <sheetViews>
    <sheetView topLeftCell="B10" workbookViewId="0">
      <selection activeCell="J20" sqref="J20"/>
    </sheetView>
  </sheetViews>
  <sheetFormatPr defaultColWidth="10.7109375" defaultRowHeight="15" x14ac:dyDescent="0.25"/>
  <cols>
    <col min="1" max="1" width="10.7109375" hidden="1" customWidth="1"/>
    <col min="3" max="4" width="10.7109375" hidden="1" customWidth="1"/>
  </cols>
  <sheetData>
    <row r="1" spans="1:53" hidden="1" x14ac:dyDescent="0.25">
      <c r="A1" s="287" t="s">
        <v>93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hidden="1" x14ac:dyDescent="0.25"/>
    <row r="9" spans="1:53" hidden="1" x14ac:dyDescent="0.25"/>
    <row r="10" spans="1:53" ht="30" x14ac:dyDescent="0.25">
      <c r="B10" s="192" t="s">
        <v>61</v>
      </c>
      <c r="E10" s="192" t="s">
        <v>75</v>
      </c>
      <c r="F10" s="192" t="s">
        <v>76</v>
      </c>
      <c r="G10" s="192" t="s">
        <v>77</v>
      </c>
      <c r="H10" s="192" t="s">
        <v>78</v>
      </c>
      <c r="I10" s="192" t="s">
        <v>79</v>
      </c>
      <c r="J10" s="192" t="s">
        <v>80</v>
      </c>
      <c r="K10" s="192" t="s">
        <v>81</v>
      </c>
      <c r="L10" s="192" t="s">
        <v>94</v>
      </c>
      <c r="M10" s="192" t="s">
        <v>95</v>
      </c>
      <c r="N10" s="192" t="s">
        <v>96</v>
      </c>
      <c r="O10" s="192" t="s">
        <v>97</v>
      </c>
      <c r="P10" s="192" t="s">
        <v>98</v>
      </c>
      <c r="Q10" s="192" t="s">
        <v>99</v>
      </c>
      <c r="R10" s="192" t="s">
        <v>100</v>
      </c>
      <c r="S10" s="192" t="s">
        <v>56</v>
      </c>
      <c r="T10" s="192"/>
      <c r="U10" s="192"/>
      <c r="V10" s="192"/>
      <c r="W10" s="192"/>
      <c r="AZ10" s="192"/>
      <c r="BA10" s="192"/>
    </row>
    <row r="11" spans="1:53" x14ac:dyDescent="0.25">
      <c r="B11" s="193">
        <f>EDATE(DATE(_Setup!$B$4,10,1),ROW()-ROW($B$11))</f>
        <v>45931</v>
      </c>
      <c r="E11" s="210">
        <v>6</v>
      </c>
      <c r="F11" s="210">
        <v>0</v>
      </c>
      <c r="G11" s="201">
        <f t="shared" ref="G11:G22" si="0">IFERROR(F11/E11,"")</f>
        <v>0</v>
      </c>
      <c r="H11" s="210">
        <v>0</v>
      </c>
      <c r="I11" s="210" t="s">
        <v>47</v>
      </c>
      <c r="J11" s="213">
        <v>4.25</v>
      </c>
      <c r="K11" s="213">
        <v>0</v>
      </c>
      <c r="L11" s="210">
        <v>3255</v>
      </c>
      <c r="M11" s="210">
        <v>991</v>
      </c>
      <c r="N11" s="201">
        <f t="shared" ref="N11:N22" si="1">IFERROR(M11/L11,"")</f>
        <v>0.30445468509984641</v>
      </c>
      <c r="O11" s="210">
        <v>6</v>
      </c>
      <c r="P11" s="210">
        <v>6</v>
      </c>
      <c r="Q11" s="206">
        <f t="shared" ref="Q11:Q22" si="2">IFERROR(O11+P11,"")</f>
        <v>12</v>
      </c>
      <c r="R11" s="213">
        <v>12</v>
      </c>
      <c r="S11" s="210" t="s">
        <v>47</v>
      </c>
      <c r="T11" s="211"/>
      <c r="U11" s="211"/>
      <c r="V11" s="211"/>
      <c r="W11" s="211"/>
      <c r="AZ11" s="194"/>
      <c r="BA11" s="194"/>
    </row>
    <row r="12" spans="1:53" x14ac:dyDescent="0.25">
      <c r="B12" s="193">
        <f>EDATE(DATE(_Setup!$B$4,10,1),ROW()-ROW($B$11))</f>
        <v>45962</v>
      </c>
      <c r="E12" s="210">
        <v>5</v>
      </c>
      <c r="F12" s="210">
        <v>0</v>
      </c>
      <c r="G12" s="201">
        <f t="shared" si="0"/>
        <v>0</v>
      </c>
      <c r="H12" s="210">
        <v>0</v>
      </c>
      <c r="I12" s="210" t="s">
        <v>47</v>
      </c>
      <c r="J12" s="213">
        <v>9.25</v>
      </c>
      <c r="K12" s="213">
        <v>0</v>
      </c>
      <c r="L12" s="210">
        <v>2790</v>
      </c>
      <c r="M12" s="210">
        <v>705</v>
      </c>
      <c r="N12" s="201">
        <f t="shared" si="1"/>
        <v>0.25268817204301075</v>
      </c>
      <c r="O12" s="210">
        <v>0</v>
      </c>
      <c r="P12" s="210">
        <v>2</v>
      </c>
      <c r="Q12" s="206">
        <f t="shared" si="2"/>
        <v>2</v>
      </c>
      <c r="R12" s="213">
        <v>12</v>
      </c>
      <c r="S12" s="210" t="s">
        <v>47</v>
      </c>
      <c r="T12" s="211"/>
      <c r="U12" s="211"/>
      <c r="V12" s="211"/>
      <c r="W12" s="211"/>
      <c r="AZ12" s="194"/>
      <c r="BA12" s="194"/>
    </row>
    <row r="13" spans="1:53" x14ac:dyDescent="0.25">
      <c r="B13" s="193">
        <f>EDATE(DATE(_Setup!$B$4,10,1),ROW()-ROW($B$11))</f>
        <v>45992</v>
      </c>
      <c r="E13" s="210">
        <v>5</v>
      </c>
      <c r="F13" s="210">
        <v>0</v>
      </c>
      <c r="G13" s="201">
        <f t="shared" si="0"/>
        <v>0</v>
      </c>
      <c r="H13" s="210">
        <v>0</v>
      </c>
      <c r="I13" s="210" t="s">
        <v>47</v>
      </c>
      <c r="J13" s="213">
        <v>5</v>
      </c>
      <c r="K13" s="213">
        <v>0</v>
      </c>
      <c r="L13" s="210">
        <v>3410</v>
      </c>
      <c r="M13" s="210">
        <v>887</v>
      </c>
      <c r="N13" s="201">
        <f t="shared" si="1"/>
        <v>0.26011730205278594</v>
      </c>
      <c r="O13" s="210">
        <v>9</v>
      </c>
      <c r="P13" s="210">
        <v>9</v>
      </c>
      <c r="Q13" s="206">
        <f t="shared" si="2"/>
        <v>18</v>
      </c>
      <c r="R13" s="213">
        <v>12</v>
      </c>
      <c r="S13" s="210" t="s">
        <v>47</v>
      </c>
      <c r="T13" s="211"/>
      <c r="U13" s="211"/>
      <c r="V13" s="211"/>
      <c r="W13" s="211"/>
      <c r="AZ13" s="194"/>
      <c r="BA13" s="194"/>
    </row>
    <row r="14" spans="1:53" x14ac:dyDescent="0.25">
      <c r="B14" s="193">
        <f>EDATE(DATE(_Setup!$B$4,10,1),ROW()-ROW($B$11))</f>
        <v>46023</v>
      </c>
      <c r="E14" s="210">
        <v>5</v>
      </c>
      <c r="F14" s="210">
        <v>0</v>
      </c>
      <c r="G14" s="201">
        <f t="shared" si="0"/>
        <v>0</v>
      </c>
      <c r="H14" s="210">
        <v>0</v>
      </c>
      <c r="I14" s="210">
        <v>32</v>
      </c>
      <c r="J14" s="213">
        <v>4.5</v>
      </c>
      <c r="K14" s="213">
        <v>0</v>
      </c>
      <c r="L14" s="210">
        <v>3085</v>
      </c>
      <c r="M14" s="210">
        <v>885</v>
      </c>
      <c r="N14" s="201">
        <f t="shared" si="1"/>
        <v>0.28687196110210694</v>
      </c>
      <c r="O14" s="210">
        <v>20</v>
      </c>
      <c r="P14" s="210">
        <v>17</v>
      </c>
      <c r="Q14" s="206">
        <f t="shared" si="2"/>
        <v>37</v>
      </c>
      <c r="R14" s="213">
        <v>11</v>
      </c>
      <c r="S14" s="210">
        <v>1696</v>
      </c>
      <c r="T14" s="211"/>
      <c r="U14" s="211"/>
      <c r="V14" s="211"/>
      <c r="W14" s="211"/>
      <c r="AZ14" s="194"/>
      <c r="BA14" s="194"/>
    </row>
    <row r="15" spans="1:53" x14ac:dyDescent="0.25">
      <c r="B15" s="193">
        <f>EDATE(DATE(_Setup!$B$4,10,1),ROW()-ROW($B$11))</f>
        <v>46054</v>
      </c>
      <c r="E15" s="210">
        <v>5</v>
      </c>
      <c r="F15" s="210">
        <v>0</v>
      </c>
      <c r="G15" s="201">
        <f t="shared" si="0"/>
        <v>0</v>
      </c>
      <c r="H15" s="210">
        <v>0</v>
      </c>
      <c r="I15" s="210">
        <v>24</v>
      </c>
      <c r="J15" s="213">
        <v>4.25</v>
      </c>
      <c r="K15" s="213">
        <v>0</v>
      </c>
      <c r="L15" s="210">
        <v>1748</v>
      </c>
      <c r="M15" s="210">
        <v>840</v>
      </c>
      <c r="N15" s="201">
        <f t="shared" si="1"/>
        <v>0.4805491990846682</v>
      </c>
      <c r="O15" s="210">
        <v>10</v>
      </c>
      <c r="P15" s="210">
        <v>3</v>
      </c>
      <c r="Q15" s="206">
        <f t="shared" si="2"/>
        <v>13</v>
      </c>
      <c r="R15" s="213">
        <v>10</v>
      </c>
      <c r="S15" s="210">
        <v>1739</v>
      </c>
      <c r="T15" s="211"/>
      <c r="U15" s="211"/>
      <c r="V15" s="211"/>
      <c r="W15" s="211"/>
      <c r="AZ15" s="194"/>
      <c r="BA15" s="194"/>
    </row>
    <row r="16" spans="1:53" x14ac:dyDescent="0.25">
      <c r="B16" s="193">
        <f>EDATE(DATE(_Setup!$B$4,10,1),ROW()-ROW($B$11))</f>
        <v>46082</v>
      </c>
      <c r="E16" s="210">
        <v>5</v>
      </c>
      <c r="F16" s="210">
        <v>0</v>
      </c>
      <c r="G16" s="201">
        <f t="shared" si="0"/>
        <v>0</v>
      </c>
      <c r="H16" s="210">
        <v>0</v>
      </c>
      <c r="I16" s="210">
        <v>0</v>
      </c>
      <c r="J16" s="213">
        <v>5</v>
      </c>
      <c r="K16" s="213">
        <v>0</v>
      </c>
      <c r="L16" s="210">
        <v>2236</v>
      </c>
      <c r="M16" s="210">
        <v>989</v>
      </c>
      <c r="N16" s="201">
        <f t="shared" si="1"/>
        <v>0.44230769230769229</v>
      </c>
      <c r="O16" s="210">
        <v>9</v>
      </c>
      <c r="P16" s="210">
        <v>2</v>
      </c>
      <c r="Q16" s="206">
        <f t="shared" si="2"/>
        <v>11</v>
      </c>
      <c r="R16" s="213">
        <v>8</v>
      </c>
      <c r="S16" s="210">
        <v>1801</v>
      </c>
      <c r="T16" s="211"/>
      <c r="U16" s="211"/>
      <c r="V16" s="211"/>
      <c r="W16" s="211"/>
      <c r="AZ16" s="194"/>
      <c r="BA16" s="194"/>
    </row>
    <row r="17" spans="2:53" x14ac:dyDescent="0.25">
      <c r="B17" s="193">
        <f>EDATE(DATE(_Setup!$B$4,10,1),ROW()-ROW($B$11))</f>
        <v>46113</v>
      </c>
      <c r="E17" s="210">
        <v>5</v>
      </c>
      <c r="F17" s="210">
        <v>0</v>
      </c>
      <c r="G17" s="201">
        <f t="shared" si="0"/>
        <v>0</v>
      </c>
      <c r="H17" s="210">
        <v>0</v>
      </c>
      <c r="I17" s="210">
        <v>0</v>
      </c>
      <c r="J17" s="213">
        <v>1</v>
      </c>
      <c r="K17" s="213">
        <v>0</v>
      </c>
      <c r="L17" s="210">
        <v>2236</v>
      </c>
      <c r="M17" s="210">
        <v>906</v>
      </c>
      <c r="N17" s="201">
        <f t="shared" si="1"/>
        <v>0.40518783542039355</v>
      </c>
      <c r="O17" s="210">
        <v>8</v>
      </c>
      <c r="P17" s="210">
        <v>5</v>
      </c>
      <c r="Q17" s="206">
        <f t="shared" si="2"/>
        <v>13</v>
      </c>
      <c r="R17" s="213">
        <v>6</v>
      </c>
      <c r="S17" s="210">
        <v>2010</v>
      </c>
      <c r="T17" s="211"/>
      <c r="U17" s="211"/>
      <c r="V17" s="211"/>
      <c r="W17" s="211"/>
      <c r="AZ17" s="194"/>
      <c r="BA17" s="194"/>
    </row>
    <row r="18" spans="2:53" x14ac:dyDescent="0.25">
      <c r="B18" s="193">
        <f>EDATE(DATE(_Setup!$B$4,10,1),ROW()-ROW($B$11))</f>
        <v>46143</v>
      </c>
      <c r="E18" s="210">
        <v>5</v>
      </c>
      <c r="F18" s="210">
        <v>0</v>
      </c>
      <c r="G18" s="201">
        <f t="shared" si="0"/>
        <v>0</v>
      </c>
      <c r="H18" s="210">
        <v>0</v>
      </c>
      <c r="I18" s="210">
        <v>2</v>
      </c>
      <c r="J18" s="213">
        <v>2</v>
      </c>
      <c r="K18" s="213">
        <v>0</v>
      </c>
      <c r="L18" s="210">
        <v>2040</v>
      </c>
      <c r="M18" s="210">
        <v>867</v>
      </c>
      <c r="N18" s="201">
        <f t="shared" si="1"/>
        <v>0.42499999999999999</v>
      </c>
      <c r="O18" s="210">
        <v>16</v>
      </c>
      <c r="P18" s="210">
        <v>4</v>
      </c>
      <c r="Q18" s="206">
        <f t="shared" si="2"/>
        <v>20</v>
      </c>
      <c r="R18" s="213">
        <v>4</v>
      </c>
      <c r="S18" s="210">
        <v>1743</v>
      </c>
      <c r="T18" s="211"/>
      <c r="U18" s="211"/>
      <c r="V18" s="211"/>
      <c r="W18" s="211"/>
      <c r="AZ18" s="194"/>
      <c r="BA18" s="194"/>
    </row>
    <row r="19" spans="2:53" x14ac:dyDescent="0.25">
      <c r="B19" s="193">
        <f>EDATE(DATE(_Setup!$B$4,10,1),ROW()-ROW($B$11))</f>
        <v>46174</v>
      </c>
      <c r="E19" s="210">
        <v>5</v>
      </c>
      <c r="F19" s="210">
        <v>0</v>
      </c>
      <c r="G19" s="201">
        <f t="shared" si="0"/>
        <v>0</v>
      </c>
      <c r="H19" s="210">
        <v>0</v>
      </c>
      <c r="I19" s="210">
        <v>7</v>
      </c>
      <c r="J19" s="213">
        <v>1.75</v>
      </c>
      <c r="K19" s="213">
        <v>0</v>
      </c>
      <c r="L19" s="210">
        <v>2247</v>
      </c>
      <c r="M19" s="210">
        <v>857</v>
      </c>
      <c r="N19" s="201">
        <f t="shared" si="1"/>
        <v>0.38139741878059635</v>
      </c>
      <c r="O19" s="210">
        <v>3</v>
      </c>
      <c r="P19" s="210">
        <v>3</v>
      </c>
      <c r="Q19" s="206">
        <f t="shared" si="2"/>
        <v>6</v>
      </c>
      <c r="R19" s="213">
        <v>5</v>
      </c>
      <c r="S19" s="210">
        <v>1972</v>
      </c>
      <c r="T19" s="211"/>
      <c r="U19" s="211"/>
      <c r="V19" s="211"/>
      <c r="W19" s="211"/>
      <c r="AZ19" s="194"/>
      <c r="BA19" s="194"/>
    </row>
    <row r="20" spans="2:53" x14ac:dyDescent="0.25">
      <c r="B20" s="193">
        <f>EDATE(DATE(_Setup!$B$4,10,1),ROW()-ROW($B$11))</f>
        <v>46204</v>
      </c>
      <c r="E20" s="210"/>
      <c r="F20" s="210"/>
      <c r="G20" s="201" t="str">
        <f t="shared" si="0"/>
        <v/>
      </c>
      <c r="H20" s="210"/>
      <c r="I20" s="210"/>
      <c r="J20" s="213"/>
      <c r="K20" s="213"/>
      <c r="L20" s="210"/>
      <c r="M20" s="210"/>
      <c r="N20" s="201" t="str">
        <f t="shared" si="1"/>
        <v/>
      </c>
      <c r="O20" s="210"/>
      <c r="P20" s="210"/>
      <c r="Q20" s="206">
        <f t="shared" si="2"/>
        <v>0</v>
      </c>
      <c r="R20" s="213"/>
      <c r="S20" s="210"/>
      <c r="T20" s="211"/>
      <c r="U20" s="211"/>
      <c r="V20" s="211"/>
      <c r="W20" s="211"/>
      <c r="AZ20" s="194"/>
      <c r="BA20" s="194"/>
    </row>
    <row r="21" spans="2:53" x14ac:dyDescent="0.25">
      <c r="B21" s="193">
        <f>EDATE(DATE(_Setup!$B$4,10,1),ROW()-ROW($B$11))</f>
        <v>46235</v>
      </c>
      <c r="E21" s="210"/>
      <c r="F21" s="210"/>
      <c r="G21" s="201" t="str">
        <f t="shared" si="0"/>
        <v/>
      </c>
      <c r="H21" s="210"/>
      <c r="I21" s="210"/>
      <c r="J21" s="213"/>
      <c r="K21" s="213"/>
      <c r="L21" s="210"/>
      <c r="M21" s="210"/>
      <c r="N21" s="201" t="str">
        <f t="shared" si="1"/>
        <v/>
      </c>
      <c r="O21" s="210"/>
      <c r="P21" s="210"/>
      <c r="Q21" s="206">
        <f t="shared" si="2"/>
        <v>0</v>
      </c>
      <c r="R21" s="213"/>
      <c r="S21" s="210"/>
      <c r="T21" s="211"/>
      <c r="U21" s="211"/>
      <c r="V21" s="211"/>
      <c r="W21" s="211"/>
      <c r="AZ21" s="194"/>
      <c r="BA21" s="194"/>
    </row>
    <row r="22" spans="2:53" x14ac:dyDescent="0.25">
      <c r="B22" s="193">
        <f>EDATE(DATE(_Setup!$B$4,10,1),ROW()-ROW($B$11))</f>
        <v>46266</v>
      </c>
      <c r="E22" s="210"/>
      <c r="F22" s="210"/>
      <c r="G22" s="201" t="str">
        <f t="shared" si="0"/>
        <v/>
      </c>
      <c r="H22" s="210"/>
      <c r="I22" s="210"/>
      <c r="J22" s="213"/>
      <c r="K22" s="213"/>
      <c r="L22" s="210"/>
      <c r="M22" s="210"/>
      <c r="N22" s="201" t="str">
        <f t="shared" si="1"/>
        <v/>
      </c>
      <c r="O22" s="210"/>
      <c r="P22" s="210"/>
      <c r="Q22" s="206">
        <f t="shared" si="2"/>
        <v>0</v>
      </c>
      <c r="R22" s="213"/>
      <c r="S22" s="210"/>
      <c r="T22" s="211"/>
      <c r="U22" s="211"/>
      <c r="V22" s="211"/>
      <c r="W22" s="211"/>
      <c r="AZ22" s="194"/>
      <c r="BA22" s="194"/>
    </row>
  </sheetData>
  <sheetProtection sheet="1" objects="1" scenarios="1" selectLockedCells="1"/>
  <mergeCells count="1">
    <mergeCell ref="A1:K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A22"/>
  <sheetViews>
    <sheetView topLeftCell="B10" workbookViewId="0">
      <selection activeCell="H21" sqref="H21"/>
    </sheetView>
  </sheetViews>
  <sheetFormatPr defaultRowHeight="15" x14ac:dyDescent="0.25"/>
  <cols>
    <col min="1" max="1" width="0" hidden="1" customWidth="1"/>
    <col min="2" max="2" width="12" customWidth="1"/>
    <col min="3" max="4" width="0" hidden="1" customWidth="1"/>
    <col min="5" max="5" width="17" customWidth="1"/>
    <col min="6" max="7" width="20" customWidth="1"/>
    <col min="8" max="8" width="26" customWidth="1"/>
    <col min="9" max="9" width="24" customWidth="1"/>
    <col min="10" max="11" width="22" customWidth="1"/>
    <col min="13" max="13" width="19" hidden="1" customWidth="1"/>
    <col min="14" max="14" width="16" hidden="1" customWidth="1"/>
    <col min="15" max="15" width="14" hidden="1" customWidth="1"/>
    <col min="16" max="16" width="15" hidden="1" customWidth="1"/>
    <col min="52" max="52" width="12" customWidth="1"/>
    <col min="53" max="53" width="13" customWidth="1"/>
  </cols>
  <sheetData>
    <row r="1" spans="1:53" hidden="1" x14ac:dyDescent="0.25">
      <c r="A1" s="287" t="s">
        <v>101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hidden="1" x14ac:dyDescent="0.25"/>
    <row r="9" spans="1:53" hidden="1" x14ac:dyDescent="0.25"/>
    <row r="10" spans="1:53" ht="30" x14ac:dyDescent="0.25">
      <c r="B10" s="192" t="s">
        <v>61</v>
      </c>
      <c r="E10" s="192" t="s">
        <v>75</v>
      </c>
      <c r="F10" s="192" t="s">
        <v>76</v>
      </c>
      <c r="G10" s="192" t="s">
        <v>77</v>
      </c>
      <c r="H10" s="192" t="s">
        <v>78</v>
      </c>
      <c r="I10" s="192" t="s">
        <v>79</v>
      </c>
      <c r="J10" s="192" t="s">
        <v>80</v>
      </c>
      <c r="K10" s="192" t="s">
        <v>81</v>
      </c>
      <c r="M10" s="192"/>
      <c r="N10" s="192"/>
      <c r="O10" s="192"/>
      <c r="P10" s="192"/>
      <c r="AZ10" s="192"/>
      <c r="BA10" s="192"/>
    </row>
    <row r="11" spans="1:53" x14ac:dyDescent="0.25">
      <c r="B11" s="193">
        <f>EDATE(DATE(_Setup!$B$4,10,1),ROW()-ROW($B$11))</f>
        <v>45931</v>
      </c>
      <c r="E11" s="210"/>
      <c r="F11" s="210"/>
      <c r="G11" s="201" t="str">
        <f t="shared" ref="G11:G22" si="0">IFERROR(F11/E11,"")</f>
        <v/>
      </c>
      <c r="H11" s="210"/>
      <c r="I11" s="210"/>
      <c r="J11" s="213">
        <v>34.75</v>
      </c>
      <c r="K11" s="213">
        <v>0</v>
      </c>
      <c r="M11" s="194"/>
      <c r="N11" s="194"/>
      <c r="O11" s="194"/>
      <c r="P11" s="194"/>
      <c r="AZ11" s="194"/>
      <c r="BA11" s="194"/>
    </row>
    <row r="12" spans="1:53" x14ac:dyDescent="0.25">
      <c r="B12" s="193">
        <f>EDATE(DATE(_Setup!$B$4,10,1),ROW()-ROW($B$11))</f>
        <v>45962</v>
      </c>
      <c r="E12" s="210"/>
      <c r="F12" s="210"/>
      <c r="G12" s="201" t="str">
        <f t="shared" si="0"/>
        <v/>
      </c>
      <c r="H12" s="210"/>
      <c r="I12" s="210"/>
      <c r="J12" s="213">
        <v>38</v>
      </c>
      <c r="K12" s="213">
        <v>0</v>
      </c>
      <c r="M12" s="194"/>
      <c r="N12" s="194"/>
      <c r="O12" s="194"/>
      <c r="P12" s="194"/>
      <c r="AZ12" s="194"/>
      <c r="BA12" s="194"/>
    </row>
    <row r="13" spans="1:53" x14ac:dyDescent="0.25">
      <c r="B13" s="193">
        <f>EDATE(DATE(_Setup!$B$4,10,1),ROW()-ROW($B$11))</f>
        <v>45992</v>
      </c>
      <c r="E13" s="210"/>
      <c r="F13" s="210"/>
      <c r="G13" s="201" t="str">
        <f t="shared" si="0"/>
        <v/>
      </c>
      <c r="H13" s="210"/>
      <c r="I13" s="210"/>
      <c r="J13" s="213">
        <v>10.5</v>
      </c>
      <c r="K13" s="213">
        <v>0</v>
      </c>
      <c r="M13" s="194"/>
      <c r="N13" s="194"/>
      <c r="O13" s="194"/>
      <c r="P13" s="194"/>
      <c r="AZ13" s="194"/>
      <c r="BA13" s="194"/>
    </row>
    <row r="14" spans="1:53" x14ac:dyDescent="0.25">
      <c r="B14" s="193">
        <f>EDATE(DATE(_Setup!$B$4,10,1),ROW()-ROW($B$11))</f>
        <v>46023</v>
      </c>
      <c r="E14" s="210"/>
      <c r="F14" s="210"/>
      <c r="G14" s="201" t="str">
        <f t="shared" si="0"/>
        <v/>
      </c>
      <c r="H14" s="210"/>
      <c r="I14" s="210"/>
      <c r="J14" s="213">
        <v>0</v>
      </c>
      <c r="K14" s="213">
        <v>0</v>
      </c>
      <c r="M14" s="194"/>
      <c r="N14" s="194"/>
      <c r="O14" s="194"/>
      <c r="P14" s="194"/>
      <c r="AZ14" s="194"/>
      <c r="BA14" s="194"/>
    </row>
    <row r="15" spans="1:53" x14ac:dyDescent="0.25">
      <c r="B15" s="193">
        <f>EDATE(DATE(_Setup!$B$4,10,1),ROW()-ROW($B$11))</f>
        <v>46054</v>
      </c>
      <c r="E15" s="210"/>
      <c r="F15" s="210"/>
      <c r="G15" s="201" t="str">
        <f t="shared" si="0"/>
        <v/>
      </c>
      <c r="H15" s="210"/>
      <c r="I15" s="210"/>
      <c r="J15" s="213">
        <v>30.75</v>
      </c>
      <c r="K15" s="213">
        <v>0</v>
      </c>
      <c r="M15" s="194"/>
      <c r="N15" s="194"/>
      <c r="O15" s="194"/>
      <c r="P15" s="194"/>
      <c r="AZ15" s="194"/>
      <c r="BA15" s="194"/>
    </row>
    <row r="16" spans="1:53" x14ac:dyDescent="0.25">
      <c r="B16" s="193">
        <f>EDATE(DATE(_Setup!$B$4,10,1),ROW()-ROW($B$11))</f>
        <v>46082</v>
      </c>
      <c r="E16" s="210"/>
      <c r="F16" s="210"/>
      <c r="G16" s="201" t="str">
        <f t="shared" si="0"/>
        <v/>
      </c>
      <c r="H16" s="210"/>
      <c r="I16" s="210"/>
      <c r="J16" s="213">
        <v>45.5</v>
      </c>
      <c r="K16" s="213">
        <v>0</v>
      </c>
      <c r="M16" s="194"/>
      <c r="N16" s="194"/>
      <c r="O16" s="194"/>
      <c r="P16" s="194"/>
      <c r="AZ16" s="194"/>
      <c r="BA16" s="194"/>
    </row>
    <row r="17" spans="2:53" x14ac:dyDescent="0.25">
      <c r="B17" s="193">
        <f>EDATE(DATE(_Setup!$B$4,10,1),ROW()-ROW($B$11))</f>
        <v>46113</v>
      </c>
      <c r="E17" s="210"/>
      <c r="F17" s="210"/>
      <c r="G17" s="201" t="str">
        <f t="shared" si="0"/>
        <v/>
      </c>
      <c r="H17" s="210"/>
      <c r="I17" s="210"/>
      <c r="J17" s="213">
        <v>40.5</v>
      </c>
      <c r="K17" s="213">
        <v>0</v>
      </c>
      <c r="M17" s="194"/>
      <c r="N17" s="194"/>
      <c r="O17" s="194"/>
      <c r="P17" s="194"/>
      <c r="AZ17" s="194"/>
      <c r="BA17" s="194"/>
    </row>
    <row r="18" spans="2:53" x14ac:dyDescent="0.25">
      <c r="B18" s="193">
        <f>EDATE(DATE(_Setup!$B$4,10,1),ROW()-ROW($B$11))</f>
        <v>46143</v>
      </c>
      <c r="E18" s="210"/>
      <c r="F18" s="210"/>
      <c r="G18" s="201" t="str">
        <f t="shared" si="0"/>
        <v/>
      </c>
      <c r="H18" s="210"/>
      <c r="I18" s="210"/>
      <c r="J18" s="213">
        <v>71.650000000000006</v>
      </c>
      <c r="K18" s="213">
        <v>0</v>
      </c>
      <c r="M18" s="194"/>
      <c r="N18" s="194"/>
      <c r="O18" s="194"/>
      <c r="P18" s="194"/>
      <c r="AZ18" s="194"/>
      <c r="BA18" s="194"/>
    </row>
    <row r="19" spans="2:53" x14ac:dyDescent="0.25">
      <c r="B19" s="193">
        <f>EDATE(DATE(_Setup!$B$4,10,1),ROW()-ROW($B$11))</f>
        <v>46174</v>
      </c>
      <c r="E19" s="210"/>
      <c r="F19" s="210"/>
      <c r="G19" s="201" t="str">
        <f t="shared" si="0"/>
        <v/>
      </c>
      <c r="H19" s="210"/>
      <c r="I19" s="210"/>
      <c r="J19" s="213"/>
      <c r="K19" s="213"/>
      <c r="M19" s="194"/>
      <c r="N19" s="194"/>
      <c r="O19" s="194"/>
      <c r="P19" s="194"/>
      <c r="AZ19" s="194"/>
      <c r="BA19" s="194"/>
    </row>
    <row r="20" spans="2:53" x14ac:dyDescent="0.25">
      <c r="B20" s="193">
        <f>EDATE(DATE(_Setup!$B$4,10,1),ROW()-ROW($B$11))</f>
        <v>46204</v>
      </c>
      <c r="E20" s="210"/>
      <c r="F20" s="210"/>
      <c r="G20" s="201" t="str">
        <f t="shared" si="0"/>
        <v/>
      </c>
      <c r="H20" s="210"/>
      <c r="I20" s="210"/>
      <c r="J20" s="213"/>
      <c r="K20" s="213"/>
      <c r="M20" s="194"/>
      <c r="N20" s="194"/>
      <c r="O20" s="194"/>
      <c r="P20" s="194"/>
      <c r="AZ20" s="194"/>
      <c r="BA20" s="194"/>
    </row>
    <row r="21" spans="2:53" x14ac:dyDescent="0.25">
      <c r="B21" s="193">
        <f>EDATE(DATE(_Setup!$B$4,10,1),ROW()-ROW($B$11))</f>
        <v>46235</v>
      </c>
      <c r="E21" s="210"/>
      <c r="F21" s="210"/>
      <c r="G21" s="201" t="str">
        <f t="shared" si="0"/>
        <v/>
      </c>
      <c r="H21" s="210"/>
      <c r="I21" s="210"/>
      <c r="J21" s="213"/>
      <c r="K21" s="213"/>
      <c r="M21" s="194"/>
      <c r="N21" s="194"/>
      <c r="O21" s="194"/>
      <c r="P21" s="194"/>
      <c r="AZ21" s="194"/>
      <c r="BA21" s="194"/>
    </row>
    <row r="22" spans="2:53" x14ac:dyDescent="0.25">
      <c r="B22" s="193">
        <f>EDATE(DATE(_Setup!$B$4,10,1),ROW()-ROW($B$11))</f>
        <v>46266</v>
      </c>
      <c r="E22" s="210"/>
      <c r="F22" s="210"/>
      <c r="G22" s="201" t="str">
        <f t="shared" si="0"/>
        <v/>
      </c>
      <c r="H22" s="210"/>
      <c r="I22" s="210"/>
      <c r="J22" s="213"/>
      <c r="K22" s="213"/>
      <c r="M22" s="194"/>
      <c r="N22" s="194"/>
      <c r="O22" s="194"/>
      <c r="P22" s="194"/>
      <c r="AZ22" s="194"/>
      <c r="BA22" s="194"/>
    </row>
  </sheetData>
  <sheetProtection sheet="1" objects="1" scenarios="1" selectLockedCells="1"/>
  <mergeCells count="1">
    <mergeCell ref="A1: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E63FF-8814-43B6-AC31-674FB919A97B}">
  <dimension ref="A1:G30"/>
  <sheetViews>
    <sheetView workbookViewId="0">
      <pane ySplit="1" topLeftCell="A4" activePane="bottomLeft" state="frozen"/>
      <selection pane="bottomLeft" activeCell="C14" sqref="C12:C14"/>
    </sheetView>
  </sheetViews>
  <sheetFormatPr defaultRowHeight="15" x14ac:dyDescent="0.25"/>
  <cols>
    <col min="1" max="1" width="18.28515625" style="247" customWidth="1"/>
    <col min="2" max="2" width="19.42578125" style="243" bestFit="1" customWidth="1"/>
    <col min="3" max="3" width="26" bestFit="1" customWidth="1"/>
    <col min="4" max="4" width="18.140625" customWidth="1"/>
    <col min="5" max="5" width="21.28515625" customWidth="1"/>
    <col min="6" max="6" width="28.140625" customWidth="1"/>
    <col min="7" max="7" width="40" customWidth="1"/>
  </cols>
  <sheetData>
    <row r="1" spans="1:7" ht="15.75" x14ac:dyDescent="0.25">
      <c r="A1" s="245" t="s">
        <v>172</v>
      </c>
      <c r="B1" s="248" t="s">
        <v>169</v>
      </c>
      <c r="C1" s="248" t="s">
        <v>171</v>
      </c>
      <c r="D1" s="248" t="s">
        <v>173</v>
      </c>
      <c r="E1" s="248" t="s">
        <v>174</v>
      </c>
      <c r="F1" s="248" t="s">
        <v>175</v>
      </c>
      <c r="G1" s="244" t="s">
        <v>170</v>
      </c>
    </row>
    <row r="2" spans="1:7" x14ac:dyDescent="0.25">
      <c r="A2" s="249">
        <v>46236</v>
      </c>
      <c r="B2" s="250">
        <v>45</v>
      </c>
      <c r="C2" s="251">
        <v>46158</v>
      </c>
      <c r="D2" s="251"/>
      <c r="E2" s="250"/>
    </row>
    <row r="3" spans="1:7" x14ac:dyDescent="0.25">
      <c r="A3" s="249">
        <v>46243</v>
      </c>
      <c r="B3" s="250">
        <v>41</v>
      </c>
      <c r="C3" s="251">
        <v>46158</v>
      </c>
      <c r="D3" s="250">
        <v>66</v>
      </c>
      <c r="E3" s="250">
        <v>19</v>
      </c>
      <c r="F3" s="250" t="s">
        <v>176</v>
      </c>
    </row>
    <row r="4" spans="1:7" x14ac:dyDescent="0.25">
      <c r="A4" s="249">
        <v>46250</v>
      </c>
      <c r="B4" s="250">
        <v>43</v>
      </c>
      <c r="C4" s="251">
        <v>46158</v>
      </c>
      <c r="D4" s="250">
        <v>77</v>
      </c>
      <c r="E4" s="250">
        <v>17</v>
      </c>
      <c r="F4" s="250" t="s">
        <v>177</v>
      </c>
    </row>
    <row r="5" spans="1:7" x14ac:dyDescent="0.25">
      <c r="A5" s="249">
        <v>46257</v>
      </c>
      <c r="B5" s="250"/>
      <c r="C5" s="250"/>
      <c r="D5" s="250"/>
      <c r="E5" s="250"/>
      <c r="F5" s="250"/>
    </row>
    <row r="6" spans="1:7" x14ac:dyDescent="0.25">
      <c r="A6" s="249">
        <v>46264</v>
      </c>
      <c r="B6" s="250"/>
      <c r="C6" s="250"/>
      <c r="D6" s="250"/>
      <c r="E6" s="250"/>
      <c r="F6" s="250"/>
    </row>
    <row r="7" spans="1:7" x14ac:dyDescent="0.25">
      <c r="A7" s="249">
        <v>46271</v>
      </c>
      <c r="B7" s="250"/>
      <c r="C7" s="250"/>
      <c r="D7" s="250"/>
      <c r="E7" s="250"/>
      <c r="F7" s="250"/>
    </row>
    <row r="8" spans="1:7" x14ac:dyDescent="0.25">
      <c r="A8" s="249">
        <v>46278</v>
      </c>
      <c r="B8" s="250"/>
      <c r="C8" s="250"/>
      <c r="D8" s="250"/>
      <c r="E8" s="250"/>
      <c r="F8" s="250"/>
    </row>
    <row r="9" spans="1:7" x14ac:dyDescent="0.25">
      <c r="A9" s="249">
        <v>46285</v>
      </c>
      <c r="B9" s="250"/>
      <c r="C9" s="250"/>
      <c r="D9" s="250"/>
      <c r="E9" s="250"/>
      <c r="F9" s="250"/>
    </row>
    <row r="10" spans="1:7" x14ac:dyDescent="0.25">
      <c r="A10" s="249">
        <v>46292</v>
      </c>
      <c r="B10" s="250"/>
      <c r="C10" s="250"/>
      <c r="D10" s="250"/>
      <c r="E10" s="250"/>
      <c r="F10" s="250"/>
    </row>
    <row r="11" spans="1:7" x14ac:dyDescent="0.25">
      <c r="A11" s="246"/>
    </row>
    <row r="12" spans="1:7" x14ac:dyDescent="0.25">
      <c r="A12" s="246"/>
    </row>
    <row r="13" spans="1:7" x14ac:dyDescent="0.25">
      <c r="A13" s="246"/>
    </row>
    <row r="14" spans="1:7" x14ac:dyDescent="0.25">
      <c r="A14" s="246"/>
    </row>
    <row r="15" spans="1:7" x14ac:dyDescent="0.25">
      <c r="A15" s="246"/>
    </row>
    <row r="16" spans="1:7" x14ac:dyDescent="0.25">
      <c r="A16" s="246"/>
    </row>
    <row r="17" spans="1:1" x14ac:dyDescent="0.25">
      <c r="A17" s="246"/>
    </row>
    <row r="18" spans="1:1" x14ac:dyDescent="0.25">
      <c r="A18" s="246"/>
    </row>
    <row r="19" spans="1:1" x14ac:dyDescent="0.25">
      <c r="A19" s="246"/>
    </row>
    <row r="20" spans="1:1" x14ac:dyDescent="0.25">
      <c r="A20" s="246"/>
    </row>
    <row r="21" spans="1:1" x14ac:dyDescent="0.25">
      <c r="A21" s="246"/>
    </row>
    <row r="22" spans="1:1" x14ac:dyDescent="0.25">
      <c r="A22" s="246"/>
    </row>
    <row r="23" spans="1:1" x14ac:dyDescent="0.25">
      <c r="A23" s="246"/>
    </row>
    <row r="24" spans="1:1" x14ac:dyDescent="0.25">
      <c r="A24" s="246"/>
    </row>
    <row r="25" spans="1:1" x14ac:dyDescent="0.25">
      <c r="A25" s="246"/>
    </row>
    <row r="26" spans="1:1" x14ac:dyDescent="0.25">
      <c r="A26" s="246"/>
    </row>
    <row r="27" spans="1:1" x14ac:dyDescent="0.25">
      <c r="A27" s="246"/>
    </row>
    <row r="28" spans="1:1" x14ac:dyDescent="0.25">
      <c r="A28" s="246"/>
    </row>
    <row r="29" spans="1:1" x14ac:dyDescent="0.25">
      <c r="A29" s="246"/>
    </row>
    <row r="30" spans="1:1" x14ac:dyDescent="0.25">
      <c r="A30" s="246"/>
    </row>
  </sheetData>
  <phoneticPr fontId="24" type="noConversion"/>
  <hyperlinks>
    <hyperlink ref="G1" r:id="rId1" xr:uid="{6C7F6690-F5F0-46A5-AFF8-9EE78EE29D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A22"/>
  <sheetViews>
    <sheetView topLeftCell="B10" workbookViewId="0">
      <selection activeCell="K18" sqref="K18"/>
    </sheetView>
  </sheetViews>
  <sheetFormatPr defaultRowHeight="15" x14ac:dyDescent="0.25"/>
  <cols>
    <col min="1" max="1" width="0" hidden="1" customWidth="1"/>
    <col min="2" max="2" width="12" customWidth="1"/>
    <col min="3" max="4" width="0" hidden="1" customWidth="1"/>
    <col min="5" max="5" width="17" customWidth="1"/>
    <col min="6" max="7" width="20" customWidth="1"/>
    <col min="8" max="8" width="26" customWidth="1"/>
    <col min="9" max="9" width="24" customWidth="1"/>
    <col min="10" max="11" width="22" customWidth="1"/>
    <col min="12" max="12" width="0" hidden="1" customWidth="1"/>
    <col min="13" max="13" width="19" hidden="1" customWidth="1"/>
    <col min="14" max="14" width="16" hidden="1" customWidth="1"/>
    <col min="15" max="15" width="14" hidden="1" customWidth="1"/>
    <col min="16" max="16" width="15" hidden="1" customWidth="1"/>
    <col min="52" max="52" width="12" customWidth="1"/>
    <col min="53" max="53" width="13" customWidth="1"/>
  </cols>
  <sheetData>
    <row r="1" spans="1:53" hidden="1" x14ac:dyDescent="0.25">
      <c r="A1" s="287" t="s">
        <v>102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hidden="1" x14ac:dyDescent="0.25"/>
    <row r="9" spans="1:53" hidden="1" x14ac:dyDescent="0.25"/>
    <row r="10" spans="1:53" ht="30" x14ac:dyDescent="0.25">
      <c r="B10" s="192" t="s">
        <v>61</v>
      </c>
      <c r="E10" s="192" t="s">
        <v>75</v>
      </c>
      <c r="F10" s="192" t="s">
        <v>76</v>
      </c>
      <c r="G10" s="192" t="s">
        <v>77</v>
      </c>
      <c r="H10" s="192" t="s">
        <v>78</v>
      </c>
      <c r="I10" s="192" t="s">
        <v>79</v>
      </c>
      <c r="J10" s="192" t="s">
        <v>80</v>
      </c>
      <c r="K10" s="192" t="s">
        <v>81</v>
      </c>
      <c r="M10" s="192"/>
      <c r="N10" s="192"/>
      <c r="O10" s="192"/>
      <c r="P10" s="192"/>
      <c r="AZ10" s="192"/>
      <c r="BA10" s="192"/>
    </row>
    <row r="11" spans="1:53" x14ac:dyDescent="0.25">
      <c r="B11" s="193">
        <f>EDATE(DATE(_Setup!$B$4,10,1),ROW()-ROW($B$11))</f>
        <v>45931</v>
      </c>
      <c r="E11" s="210"/>
      <c r="F11" s="210"/>
      <c r="G11" s="201" t="str">
        <f t="shared" ref="G11:G22" si="0">IFERROR(F11/E11,"")</f>
        <v/>
      </c>
      <c r="H11" s="210"/>
      <c r="I11" s="210"/>
      <c r="J11" s="213">
        <v>47.6</v>
      </c>
      <c r="K11" s="213">
        <v>0</v>
      </c>
      <c r="M11" s="194"/>
      <c r="N11" s="194"/>
      <c r="O11" s="194"/>
      <c r="P11" s="194"/>
      <c r="AZ11" s="194"/>
      <c r="BA11" s="194"/>
    </row>
    <row r="12" spans="1:53" x14ac:dyDescent="0.25">
      <c r="B12" s="193">
        <f>EDATE(DATE(_Setup!$B$4,10,1),ROW()-ROW($B$11))</f>
        <v>45962</v>
      </c>
      <c r="E12" s="210"/>
      <c r="F12" s="210"/>
      <c r="G12" s="201" t="str">
        <f t="shared" si="0"/>
        <v/>
      </c>
      <c r="H12" s="210"/>
      <c r="I12" s="210"/>
      <c r="J12" s="213">
        <v>30.45</v>
      </c>
      <c r="K12" s="213">
        <v>0</v>
      </c>
      <c r="M12" s="194"/>
      <c r="N12" s="194"/>
      <c r="O12" s="194"/>
      <c r="P12" s="194"/>
      <c r="AZ12" s="194"/>
      <c r="BA12" s="194"/>
    </row>
    <row r="13" spans="1:53" x14ac:dyDescent="0.25">
      <c r="B13" s="193">
        <f>EDATE(DATE(_Setup!$B$4,10,1),ROW()-ROW($B$11))</f>
        <v>45992</v>
      </c>
      <c r="E13" s="210"/>
      <c r="F13" s="210"/>
      <c r="G13" s="201" t="str">
        <f t="shared" si="0"/>
        <v/>
      </c>
      <c r="H13" s="210"/>
      <c r="I13" s="210"/>
      <c r="J13" s="213">
        <v>32.5</v>
      </c>
      <c r="K13" s="213">
        <v>10.050000000000001</v>
      </c>
      <c r="M13" s="194"/>
      <c r="N13" s="194"/>
      <c r="O13" s="194"/>
      <c r="P13" s="194"/>
      <c r="AZ13" s="194"/>
      <c r="BA13" s="194"/>
    </row>
    <row r="14" spans="1:53" x14ac:dyDescent="0.25">
      <c r="B14" s="193">
        <f>EDATE(DATE(_Setup!$B$4,10,1),ROW()-ROW($B$11))</f>
        <v>46023</v>
      </c>
      <c r="E14" s="210"/>
      <c r="F14" s="210"/>
      <c r="G14" s="201" t="str">
        <f t="shared" si="0"/>
        <v/>
      </c>
      <c r="H14" s="210"/>
      <c r="I14" s="210"/>
      <c r="J14" s="213">
        <v>48.05</v>
      </c>
      <c r="K14" s="213">
        <v>6.45</v>
      </c>
      <c r="M14" s="194"/>
      <c r="N14" s="194"/>
      <c r="O14" s="194"/>
      <c r="P14" s="194"/>
      <c r="AZ14" s="194"/>
      <c r="BA14" s="194"/>
    </row>
    <row r="15" spans="1:53" x14ac:dyDescent="0.25">
      <c r="B15" s="193">
        <f>EDATE(DATE(_Setup!$B$4,10,1),ROW()-ROW($B$11))</f>
        <v>46054</v>
      </c>
      <c r="E15" s="210"/>
      <c r="F15" s="210"/>
      <c r="G15" s="201" t="str">
        <f t="shared" si="0"/>
        <v/>
      </c>
      <c r="H15" s="210"/>
      <c r="I15" s="210"/>
      <c r="J15" s="213">
        <v>36.4</v>
      </c>
      <c r="K15" s="213">
        <v>0</v>
      </c>
      <c r="M15" s="194"/>
      <c r="N15" s="194"/>
      <c r="O15" s="194"/>
      <c r="P15" s="194"/>
      <c r="AZ15" s="194"/>
      <c r="BA15" s="194"/>
    </row>
    <row r="16" spans="1:53" x14ac:dyDescent="0.25">
      <c r="B16" s="193">
        <f>EDATE(DATE(_Setup!$B$4,10,1),ROW()-ROW($B$11))</f>
        <v>46082</v>
      </c>
      <c r="E16" s="210"/>
      <c r="F16" s="210"/>
      <c r="G16" s="201" t="str">
        <f t="shared" si="0"/>
        <v/>
      </c>
      <c r="H16" s="210"/>
      <c r="I16" s="210"/>
      <c r="J16" s="213">
        <v>35.4</v>
      </c>
      <c r="K16" s="213">
        <v>0</v>
      </c>
      <c r="M16" s="194"/>
      <c r="N16" s="194"/>
      <c r="O16" s="194"/>
      <c r="P16" s="194"/>
      <c r="AZ16" s="194"/>
      <c r="BA16" s="194"/>
    </row>
    <row r="17" spans="2:53" x14ac:dyDescent="0.25">
      <c r="B17" s="193">
        <f>EDATE(DATE(_Setup!$B$4,10,1),ROW()-ROW($B$11))</f>
        <v>46113</v>
      </c>
      <c r="E17" s="210"/>
      <c r="F17" s="210"/>
      <c r="G17" s="201" t="str">
        <f t="shared" si="0"/>
        <v/>
      </c>
      <c r="H17" s="210"/>
      <c r="I17" s="210"/>
      <c r="J17" s="213">
        <v>42.75</v>
      </c>
      <c r="K17" s="213">
        <v>0</v>
      </c>
      <c r="M17" s="194"/>
      <c r="N17" s="194"/>
      <c r="O17" s="194"/>
      <c r="P17" s="194"/>
      <c r="AZ17" s="194"/>
      <c r="BA17" s="194"/>
    </row>
    <row r="18" spans="2:53" x14ac:dyDescent="0.25">
      <c r="B18" s="193">
        <f>EDATE(DATE(_Setup!$B$4,10,1),ROW()-ROW($B$11))</f>
        <v>46143</v>
      </c>
      <c r="E18" s="210"/>
      <c r="F18" s="210"/>
      <c r="G18" s="201" t="str">
        <f t="shared" si="0"/>
        <v/>
      </c>
      <c r="H18" s="210"/>
      <c r="I18" s="210"/>
      <c r="J18" s="213">
        <v>48.4</v>
      </c>
      <c r="K18" s="213">
        <v>0</v>
      </c>
      <c r="M18" s="194"/>
      <c r="N18" s="194"/>
      <c r="O18" s="194"/>
      <c r="P18" s="194"/>
      <c r="AZ18" s="194"/>
      <c r="BA18" s="194"/>
    </row>
    <row r="19" spans="2:53" x14ac:dyDescent="0.25">
      <c r="B19" s="193">
        <f>EDATE(DATE(_Setup!$B$4,10,1),ROW()-ROW($B$11))</f>
        <v>46174</v>
      </c>
      <c r="E19" s="210"/>
      <c r="F19" s="210"/>
      <c r="G19" s="201" t="str">
        <f t="shared" si="0"/>
        <v/>
      </c>
      <c r="H19" s="210"/>
      <c r="I19" s="210"/>
      <c r="J19" s="213"/>
      <c r="K19" s="213"/>
      <c r="M19" s="194"/>
      <c r="N19" s="194"/>
      <c r="O19" s="194"/>
      <c r="P19" s="194"/>
      <c r="AZ19" s="194"/>
      <c r="BA19" s="194"/>
    </row>
    <row r="20" spans="2:53" x14ac:dyDescent="0.25">
      <c r="B20" s="193">
        <f>EDATE(DATE(_Setup!$B$4,10,1),ROW()-ROW($B$11))</f>
        <v>46204</v>
      </c>
      <c r="E20" s="210"/>
      <c r="F20" s="210"/>
      <c r="G20" s="201" t="str">
        <f t="shared" si="0"/>
        <v/>
      </c>
      <c r="H20" s="210"/>
      <c r="I20" s="210"/>
      <c r="J20" s="213"/>
      <c r="K20" s="213"/>
      <c r="M20" s="194"/>
      <c r="N20" s="194"/>
      <c r="O20" s="194"/>
      <c r="P20" s="194"/>
      <c r="AZ20" s="194"/>
      <c r="BA20" s="194"/>
    </row>
    <row r="21" spans="2:53" x14ac:dyDescent="0.25">
      <c r="B21" s="193">
        <f>EDATE(DATE(_Setup!$B$4,10,1),ROW()-ROW($B$11))</f>
        <v>46235</v>
      </c>
      <c r="E21" s="210"/>
      <c r="F21" s="210"/>
      <c r="G21" s="201" t="str">
        <f t="shared" si="0"/>
        <v/>
      </c>
      <c r="H21" s="210"/>
      <c r="I21" s="210"/>
      <c r="J21" s="213"/>
      <c r="K21" s="213"/>
      <c r="M21" s="194"/>
      <c r="N21" s="194"/>
      <c r="O21" s="194"/>
      <c r="P21" s="194"/>
      <c r="AZ21" s="194"/>
      <c r="BA21" s="194"/>
    </row>
    <row r="22" spans="2:53" x14ac:dyDescent="0.25">
      <c r="B22" s="193">
        <f>EDATE(DATE(_Setup!$B$4,10,1),ROW()-ROW($B$11))</f>
        <v>46266</v>
      </c>
      <c r="E22" s="210"/>
      <c r="F22" s="210"/>
      <c r="G22" s="201" t="str">
        <f t="shared" si="0"/>
        <v/>
      </c>
      <c r="H22" s="210"/>
      <c r="I22" s="210"/>
      <c r="J22" s="213"/>
      <c r="K22" s="213"/>
      <c r="M22" s="194"/>
      <c r="N22" s="194"/>
      <c r="O22" s="194"/>
      <c r="P22" s="194"/>
      <c r="AZ22" s="194"/>
      <c r="BA22" s="194"/>
    </row>
  </sheetData>
  <sheetProtection sheet="1" objects="1" scenarios="1" selectLockedCells="1"/>
  <mergeCells count="1">
    <mergeCell ref="A1:K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A22"/>
  <sheetViews>
    <sheetView topLeftCell="B8" workbookViewId="0">
      <selection activeCell="L28" sqref="L28"/>
    </sheetView>
  </sheetViews>
  <sheetFormatPr defaultColWidth="12.7109375" defaultRowHeight="15" x14ac:dyDescent="0.25"/>
  <cols>
    <col min="1" max="1" width="0" hidden="1" customWidth="1"/>
  </cols>
  <sheetData>
    <row r="1" spans="1:53" hidden="1" x14ac:dyDescent="0.25">
      <c r="A1" s="287" t="s">
        <v>103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x14ac:dyDescent="0.25">
      <c r="C8" s="286" t="s">
        <v>104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9" spans="1:53" hidden="1" x14ac:dyDescent="0.25"/>
    <row r="10" spans="1:53" ht="3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s="192" t="s">
        <v>75</v>
      </c>
      <c r="BA10" s="192" t="s">
        <v>76</v>
      </c>
    </row>
    <row r="11" spans="1:53" x14ac:dyDescent="0.25">
      <c r="B11" s="193">
        <f>EDATE(DATE(_Setup!$B$4,10,1),ROW()-ROW($B$11))</f>
        <v>45931</v>
      </c>
      <c r="C11" s="210"/>
      <c r="D11" s="210"/>
      <c r="E11" s="201" t="str">
        <f t="shared" ref="E11:E22" si="0">IFERROR(D11/C11,"")</f>
        <v/>
      </c>
      <c r="F11" s="210"/>
      <c r="G11" s="210"/>
      <c r="H11" s="201" t="str">
        <f t="shared" ref="H11:H22" si="1">IFERROR(G11/F11,"")</f>
        <v/>
      </c>
      <c r="I11" s="210"/>
      <c r="J11" s="210"/>
      <c r="K11" s="210"/>
      <c r="L11" s="210"/>
      <c r="M11" s="201" t="str">
        <f t="shared" ref="M11:M22" si="2">IFERROR(L11/K11,"")</f>
        <v/>
      </c>
      <c r="N11" s="210"/>
      <c r="O11" s="210"/>
      <c r="AZ11" s="194"/>
      <c r="BA11" s="194"/>
    </row>
    <row r="12" spans="1:53" x14ac:dyDescent="0.25">
      <c r="B12" s="193">
        <f>EDATE(DATE(_Setup!$B$4,10,1),ROW()-ROW($B$11))</f>
        <v>45962</v>
      </c>
      <c r="C12" s="210"/>
      <c r="D12" s="210"/>
      <c r="E12" s="201" t="str">
        <f t="shared" si="0"/>
        <v/>
      </c>
      <c r="F12" s="210"/>
      <c r="G12" s="210"/>
      <c r="H12" s="201" t="str">
        <f t="shared" si="1"/>
        <v/>
      </c>
      <c r="I12" s="210"/>
      <c r="J12" s="210"/>
      <c r="K12" s="210"/>
      <c r="L12" s="210"/>
      <c r="M12" s="201" t="str">
        <f t="shared" si="2"/>
        <v/>
      </c>
      <c r="N12" s="210"/>
      <c r="O12" s="210"/>
      <c r="AZ12" s="194"/>
      <c r="BA12" s="194"/>
    </row>
    <row r="13" spans="1:53" x14ac:dyDescent="0.25">
      <c r="B13" s="193">
        <f>EDATE(DATE(_Setup!$B$4,10,1),ROW()-ROW($B$11))</f>
        <v>45992</v>
      </c>
      <c r="C13" s="210"/>
      <c r="D13" s="210"/>
      <c r="E13" s="201" t="str">
        <f t="shared" si="0"/>
        <v/>
      </c>
      <c r="F13" s="210"/>
      <c r="G13" s="210"/>
      <c r="H13" s="201" t="str">
        <f t="shared" si="1"/>
        <v/>
      </c>
      <c r="I13" s="210"/>
      <c r="J13" s="210"/>
      <c r="K13" s="210"/>
      <c r="L13" s="210"/>
      <c r="M13" s="201" t="str">
        <f t="shared" si="2"/>
        <v/>
      </c>
      <c r="N13" s="210"/>
      <c r="O13" s="210"/>
      <c r="AZ13" s="194"/>
      <c r="BA13" s="194"/>
    </row>
    <row r="14" spans="1:53" x14ac:dyDescent="0.25">
      <c r="B14" s="193">
        <f>EDATE(DATE(_Setup!$B$4,10,1),ROW()-ROW($B$11))</f>
        <v>46023</v>
      </c>
      <c r="C14" s="210"/>
      <c r="D14" s="210"/>
      <c r="E14" s="201" t="str">
        <f t="shared" si="0"/>
        <v/>
      </c>
      <c r="F14" s="210"/>
      <c r="G14" s="210"/>
      <c r="H14" s="201" t="str">
        <f t="shared" si="1"/>
        <v/>
      </c>
      <c r="I14" s="210"/>
      <c r="J14" s="210"/>
      <c r="K14" s="210"/>
      <c r="L14" s="210"/>
      <c r="M14" s="201" t="str">
        <f t="shared" si="2"/>
        <v/>
      </c>
      <c r="N14" s="210"/>
      <c r="O14" s="210"/>
      <c r="AZ14" s="194"/>
      <c r="BA14" s="194"/>
    </row>
    <row r="15" spans="1:53" x14ac:dyDescent="0.25">
      <c r="B15" s="193">
        <f>EDATE(DATE(_Setup!$B$4,10,1),ROW()-ROW($B$11))</f>
        <v>46054</v>
      </c>
      <c r="C15" s="210"/>
      <c r="D15" s="210"/>
      <c r="E15" s="201" t="str">
        <f t="shared" si="0"/>
        <v/>
      </c>
      <c r="F15" s="210"/>
      <c r="G15" s="210"/>
      <c r="H15" s="201" t="str">
        <f t="shared" si="1"/>
        <v/>
      </c>
      <c r="I15" s="210"/>
      <c r="J15" s="210"/>
      <c r="K15" s="210"/>
      <c r="L15" s="210"/>
      <c r="M15" s="201" t="str">
        <f t="shared" si="2"/>
        <v/>
      </c>
      <c r="N15" s="210"/>
      <c r="O15" s="210"/>
      <c r="AZ15" s="194"/>
      <c r="BA15" s="194"/>
    </row>
    <row r="16" spans="1:53" x14ac:dyDescent="0.25">
      <c r="B16" s="193">
        <f>EDATE(DATE(_Setup!$B$4,10,1),ROW()-ROW($B$11))</f>
        <v>46082</v>
      </c>
      <c r="C16" s="210"/>
      <c r="D16" s="210"/>
      <c r="E16" s="201" t="str">
        <f t="shared" si="0"/>
        <v/>
      </c>
      <c r="F16" s="210"/>
      <c r="G16" s="210"/>
      <c r="H16" s="201" t="str">
        <f t="shared" si="1"/>
        <v/>
      </c>
      <c r="I16" s="210"/>
      <c r="J16" s="210"/>
      <c r="K16" s="210"/>
      <c r="L16" s="210"/>
      <c r="M16" s="201" t="str">
        <f t="shared" si="2"/>
        <v/>
      </c>
      <c r="N16" s="210"/>
      <c r="O16" s="210"/>
      <c r="AZ16" s="194"/>
      <c r="BA16" s="194"/>
    </row>
    <row r="17" spans="2:53" x14ac:dyDescent="0.25">
      <c r="B17" s="193">
        <f>EDATE(DATE(_Setup!$B$4,10,1),ROW()-ROW($B$11))</f>
        <v>46113</v>
      </c>
      <c r="C17" s="210"/>
      <c r="D17" s="210"/>
      <c r="E17" s="201" t="str">
        <f t="shared" si="0"/>
        <v/>
      </c>
      <c r="F17" s="210"/>
      <c r="G17" s="210"/>
      <c r="H17" s="201" t="str">
        <f t="shared" si="1"/>
        <v/>
      </c>
      <c r="I17" s="210"/>
      <c r="J17" s="210"/>
      <c r="K17" s="210"/>
      <c r="L17" s="210"/>
      <c r="M17" s="201" t="str">
        <f t="shared" si="2"/>
        <v/>
      </c>
      <c r="N17" s="210"/>
      <c r="O17" s="210"/>
      <c r="AZ17" s="194"/>
      <c r="BA17" s="194"/>
    </row>
    <row r="18" spans="2:53" x14ac:dyDescent="0.25">
      <c r="B18" s="193">
        <f>EDATE(DATE(_Setup!$B$4,10,1),ROW()-ROW($B$11))</f>
        <v>46143</v>
      </c>
      <c r="C18" s="210"/>
      <c r="D18" s="210"/>
      <c r="E18" s="201" t="str">
        <f t="shared" si="0"/>
        <v/>
      </c>
      <c r="F18" s="210"/>
      <c r="G18" s="210"/>
      <c r="H18" s="201" t="str">
        <f t="shared" si="1"/>
        <v/>
      </c>
      <c r="I18" s="210"/>
      <c r="J18" s="210"/>
      <c r="K18" s="210"/>
      <c r="L18" s="210"/>
      <c r="M18" s="201" t="str">
        <f t="shared" si="2"/>
        <v/>
      </c>
      <c r="N18" s="210"/>
      <c r="O18" s="210"/>
      <c r="AZ18" s="194"/>
      <c r="BA18" s="194"/>
    </row>
    <row r="19" spans="2:53" x14ac:dyDescent="0.25">
      <c r="B19" s="193">
        <f>EDATE(DATE(_Setup!$B$4,10,1),ROW()-ROW($B$11))</f>
        <v>46174</v>
      </c>
      <c r="C19" s="210"/>
      <c r="D19" s="210"/>
      <c r="E19" s="201" t="str">
        <f t="shared" si="0"/>
        <v/>
      </c>
      <c r="F19" s="210"/>
      <c r="G19" s="210"/>
      <c r="H19" s="201" t="str">
        <f t="shared" si="1"/>
        <v/>
      </c>
      <c r="I19" s="210"/>
      <c r="J19" s="210"/>
      <c r="K19" s="210"/>
      <c r="L19" s="210"/>
      <c r="M19" s="201" t="str">
        <f t="shared" si="2"/>
        <v/>
      </c>
      <c r="N19" s="210"/>
      <c r="O19" s="210"/>
      <c r="AZ19" s="194"/>
      <c r="BA19" s="194"/>
    </row>
    <row r="20" spans="2:53" x14ac:dyDescent="0.25">
      <c r="B20" s="193">
        <f>EDATE(DATE(_Setup!$B$4,10,1),ROW()-ROW($B$11))</f>
        <v>46204</v>
      </c>
      <c r="C20" s="210"/>
      <c r="D20" s="210"/>
      <c r="E20" s="201" t="str">
        <f t="shared" si="0"/>
        <v/>
      </c>
      <c r="F20" s="210"/>
      <c r="G20" s="210"/>
      <c r="H20" s="201" t="str">
        <f t="shared" si="1"/>
        <v/>
      </c>
      <c r="I20" s="210"/>
      <c r="J20" s="210"/>
      <c r="K20" s="210"/>
      <c r="L20" s="210"/>
      <c r="M20" s="201" t="str">
        <f t="shared" si="2"/>
        <v/>
      </c>
      <c r="N20" s="210"/>
      <c r="O20" s="210"/>
      <c r="AZ20" s="194"/>
      <c r="BA20" s="194"/>
    </row>
    <row r="21" spans="2:53" x14ac:dyDescent="0.25">
      <c r="B21" s="193">
        <f>EDATE(DATE(_Setup!$B$4,10,1),ROW()-ROW($B$11))</f>
        <v>46235</v>
      </c>
      <c r="C21" s="210"/>
      <c r="D21" s="210"/>
      <c r="E21" s="201" t="str">
        <f t="shared" si="0"/>
        <v/>
      </c>
      <c r="F21" s="210"/>
      <c r="G21" s="210"/>
      <c r="H21" s="201" t="str">
        <f t="shared" si="1"/>
        <v/>
      </c>
      <c r="I21" s="210"/>
      <c r="J21" s="210"/>
      <c r="K21" s="210"/>
      <c r="L21" s="210"/>
      <c r="M21" s="201" t="str">
        <f t="shared" si="2"/>
        <v/>
      </c>
      <c r="N21" s="210"/>
      <c r="O21" s="210"/>
      <c r="AZ21" s="194"/>
      <c r="BA21" s="194"/>
    </row>
    <row r="22" spans="2:53" x14ac:dyDescent="0.25">
      <c r="B22" s="193">
        <f>EDATE(DATE(_Setup!$B$4,10,1),ROW()-ROW($B$11))</f>
        <v>46266</v>
      </c>
      <c r="C22" s="210"/>
      <c r="D22" s="210"/>
      <c r="E22" s="201" t="str">
        <f t="shared" si="0"/>
        <v/>
      </c>
      <c r="F22" s="210"/>
      <c r="G22" s="210"/>
      <c r="H22" s="201" t="str">
        <f t="shared" si="1"/>
        <v/>
      </c>
      <c r="I22" s="210"/>
      <c r="J22" s="210"/>
      <c r="K22" s="210"/>
      <c r="L22" s="210"/>
      <c r="M22" s="201" t="str">
        <f t="shared" si="2"/>
        <v/>
      </c>
      <c r="N22" s="210"/>
      <c r="O22" s="210"/>
      <c r="AZ22" s="194"/>
      <c r="BA22" s="194"/>
    </row>
  </sheetData>
  <sheetProtection sheet="1" objects="1" scenarios="1" selectLockedCells="1"/>
  <mergeCells count="2">
    <mergeCell ref="C8:O8"/>
    <mergeCell ref="A1:K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BA22"/>
  <sheetViews>
    <sheetView topLeftCell="B10" workbookViewId="0">
      <selection activeCell="C11" sqref="C11:D22"/>
    </sheetView>
  </sheetViews>
  <sheetFormatPr defaultColWidth="12.7109375" defaultRowHeight="15" x14ac:dyDescent="0.25"/>
  <cols>
    <col min="1" max="1" width="0" hidden="1" customWidth="1"/>
  </cols>
  <sheetData>
    <row r="1" spans="1:53" hidden="1" x14ac:dyDescent="0.25">
      <c r="A1" s="287" t="s">
        <v>105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hidden="1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3" spans="1:53" hidden="1" x14ac:dyDescent="0.25"/>
    <row r="4" spans="1:53" hidden="1" x14ac:dyDescent="0.25"/>
    <row r="5" spans="1:53" hidden="1" x14ac:dyDescent="0.25"/>
    <row r="6" spans="1:53" hidden="1" x14ac:dyDescent="0.25"/>
    <row r="7" spans="1:53" hidden="1" x14ac:dyDescent="0.25"/>
    <row r="8" spans="1:53" hidden="1" x14ac:dyDescent="0.25"/>
    <row r="9" spans="1:53" hidden="1" x14ac:dyDescent="0.25"/>
    <row r="10" spans="1:53" ht="30" x14ac:dyDescent="0.25">
      <c r="B10" s="192" t="s">
        <v>61</v>
      </c>
      <c r="C10" s="192" t="s">
        <v>106</v>
      </c>
      <c r="D10" s="192" t="s">
        <v>107</v>
      </c>
      <c r="E10" s="192" t="s">
        <v>75</v>
      </c>
      <c r="F10" s="192" t="s">
        <v>76</v>
      </c>
      <c r="G10" s="192" t="s">
        <v>77</v>
      </c>
      <c r="H10" s="192" t="s">
        <v>78</v>
      </c>
      <c r="I10" s="192" t="s">
        <v>79</v>
      </c>
      <c r="J10" s="192" t="s">
        <v>71</v>
      </c>
      <c r="K10" s="192" t="s">
        <v>73</v>
      </c>
      <c r="L10" s="192" t="s">
        <v>74</v>
      </c>
      <c r="M10" s="192" t="s">
        <v>64</v>
      </c>
      <c r="N10" s="192" t="s">
        <v>108</v>
      </c>
      <c r="O10" s="192" t="s">
        <v>72</v>
      </c>
      <c r="AZ10" s="192" t="s">
        <v>75</v>
      </c>
      <c r="BA10" s="192" t="s">
        <v>76</v>
      </c>
    </row>
    <row r="11" spans="1:53" x14ac:dyDescent="0.25">
      <c r="B11" s="193">
        <f>EDATE(DATE(_Setup!$B$4,10,1),ROW()-ROW($B$11))</f>
        <v>45931</v>
      </c>
      <c r="C11" s="211"/>
      <c r="D11" s="211"/>
      <c r="E11" s="214" t="str">
        <f t="shared" ref="E11:E22" si="0">IFERROR(D11/C11,"")</f>
        <v/>
      </c>
      <c r="F11" s="211"/>
      <c r="G11" s="201" t="str">
        <f t="shared" ref="G11:G22" si="1">IFERROR(F11/E11,"")</f>
        <v/>
      </c>
      <c r="H11" s="214" t="str">
        <f t="shared" ref="H11:H22" si="2">IFERROR(G11/F11,"")</f>
        <v/>
      </c>
      <c r="I11" s="211"/>
      <c r="J11" s="211"/>
      <c r="K11" s="211"/>
      <c r="L11" s="211"/>
      <c r="M11" s="201" t="str">
        <f t="shared" ref="M11:M22" si="3">IFERROR(D11/C11,"")</f>
        <v/>
      </c>
      <c r="N11" s="201" t="str">
        <f t="shared" ref="N11:N22" si="4">IFERROR(F11/E11,"")</f>
        <v/>
      </c>
      <c r="O11" s="201" t="str">
        <f t="shared" ref="O11:O22" si="5">IFERROR(J11/I11,"")</f>
        <v/>
      </c>
      <c r="AZ11" s="194"/>
      <c r="BA11" s="194"/>
    </row>
    <row r="12" spans="1:53" x14ac:dyDescent="0.25">
      <c r="B12" s="193">
        <f>EDATE(DATE(_Setup!$B$4,10,1),ROW()-ROW($B$11))</f>
        <v>45962</v>
      </c>
      <c r="C12" s="211"/>
      <c r="D12" s="211"/>
      <c r="E12" s="214" t="str">
        <f t="shared" si="0"/>
        <v/>
      </c>
      <c r="F12" s="211"/>
      <c r="G12" s="201" t="str">
        <f t="shared" si="1"/>
        <v/>
      </c>
      <c r="H12" s="214" t="str">
        <f t="shared" si="2"/>
        <v/>
      </c>
      <c r="I12" s="211"/>
      <c r="J12" s="211"/>
      <c r="K12" s="211"/>
      <c r="L12" s="211"/>
      <c r="M12" s="201" t="str">
        <f t="shared" si="3"/>
        <v/>
      </c>
      <c r="N12" s="201" t="str">
        <f t="shared" si="4"/>
        <v/>
      </c>
      <c r="O12" s="201" t="str">
        <f t="shared" si="5"/>
        <v/>
      </c>
      <c r="AZ12" s="194"/>
      <c r="BA12" s="194"/>
    </row>
    <row r="13" spans="1:53" x14ac:dyDescent="0.25">
      <c r="B13" s="193">
        <f>EDATE(DATE(_Setup!$B$4,10,1),ROW()-ROW($B$11))</f>
        <v>45992</v>
      </c>
      <c r="C13" s="211"/>
      <c r="D13" s="211"/>
      <c r="E13" s="214" t="str">
        <f t="shared" si="0"/>
        <v/>
      </c>
      <c r="F13" s="211"/>
      <c r="G13" s="201" t="str">
        <f t="shared" si="1"/>
        <v/>
      </c>
      <c r="H13" s="214" t="str">
        <f t="shared" si="2"/>
        <v/>
      </c>
      <c r="I13" s="211"/>
      <c r="J13" s="211"/>
      <c r="K13" s="211"/>
      <c r="L13" s="211"/>
      <c r="M13" s="201" t="str">
        <f t="shared" si="3"/>
        <v/>
      </c>
      <c r="N13" s="201" t="str">
        <f t="shared" si="4"/>
        <v/>
      </c>
      <c r="O13" s="201" t="str">
        <f t="shared" si="5"/>
        <v/>
      </c>
      <c r="AZ13" s="194"/>
      <c r="BA13" s="194"/>
    </row>
    <row r="14" spans="1:53" x14ac:dyDescent="0.25">
      <c r="B14" s="193">
        <f>EDATE(DATE(_Setup!$B$4,10,1),ROW()-ROW($B$11))</f>
        <v>46023</v>
      </c>
      <c r="C14" s="211"/>
      <c r="D14" s="211"/>
      <c r="E14" s="214" t="str">
        <f t="shared" si="0"/>
        <v/>
      </c>
      <c r="F14" s="211"/>
      <c r="G14" s="201" t="str">
        <f t="shared" si="1"/>
        <v/>
      </c>
      <c r="H14" s="214" t="str">
        <f t="shared" si="2"/>
        <v/>
      </c>
      <c r="I14" s="211"/>
      <c r="J14" s="211"/>
      <c r="K14" s="211"/>
      <c r="L14" s="211"/>
      <c r="M14" s="201" t="str">
        <f t="shared" si="3"/>
        <v/>
      </c>
      <c r="N14" s="201" t="str">
        <f t="shared" si="4"/>
        <v/>
      </c>
      <c r="O14" s="201" t="str">
        <f t="shared" si="5"/>
        <v/>
      </c>
      <c r="AZ14" s="194"/>
      <c r="BA14" s="194"/>
    </row>
    <row r="15" spans="1:53" x14ac:dyDescent="0.25">
      <c r="B15" s="193">
        <f>EDATE(DATE(_Setup!$B$4,10,1),ROW()-ROW($B$11))</f>
        <v>46054</v>
      </c>
      <c r="C15" s="211"/>
      <c r="D15" s="211"/>
      <c r="E15" s="214" t="str">
        <f t="shared" si="0"/>
        <v/>
      </c>
      <c r="F15" s="211"/>
      <c r="G15" s="201" t="str">
        <f t="shared" si="1"/>
        <v/>
      </c>
      <c r="H15" s="214" t="str">
        <f t="shared" si="2"/>
        <v/>
      </c>
      <c r="I15" s="211"/>
      <c r="J15" s="211"/>
      <c r="K15" s="211"/>
      <c r="L15" s="211"/>
      <c r="M15" s="201" t="str">
        <f t="shared" si="3"/>
        <v/>
      </c>
      <c r="N15" s="201" t="str">
        <f t="shared" si="4"/>
        <v/>
      </c>
      <c r="O15" s="201" t="str">
        <f t="shared" si="5"/>
        <v/>
      </c>
      <c r="AZ15" s="194"/>
      <c r="BA15" s="194"/>
    </row>
    <row r="16" spans="1:53" x14ac:dyDescent="0.25">
      <c r="B16" s="193">
        <f>EDATE(DATE(_Setup!$B$4,10,1),ROW()-ROW($B$11))</f>
        <v>46082</v>
      </c>
      <c r="C16" s="211"/>
      <c r="D16" s="211"/>
      <c r="E16" s="214" t="str">
        <f t="shared" si="0"/>
        <v/>
      </c>
      <c r="F16" s="211"/>
      <c r="G16" s="201" t="str">
        <f t="shared" si="1"/>
        <v/>
      </c>
      <c r="H16" s="214" t="str">
        <f t="shared" si="2"/>
        <v/>
      </c>
      <c r="I16" s="211"/>
      <c r="J16" s="211"/>
      <c r="K16" s="211"/>
      <c r="L16" s="211"/>
      <c r="M16" s="201" t="str">
        <f t="shared" si="3"/>
        <v/>
      </c>
      <c r="N16" s="201" t="str">
        <f t="shared" si="4"/>
        <v/>
      </c>
      <c r="O16" s="201" t="str">
        <f t="shared" si="5"/>
        <v/>
      </c>
      <c r="AZ16" s="194"/>
      <c r="BA16" s="194"/>
    </row>
    <row r="17" spans="2:53" x14ac:dyDescent="0.25">
      <c r="B17" s="193">
        <f>EDATE(DATE(_Setup!$B$4,10,1),ROW()-ROW($B$11))</f>
        <v>46113</v>
      </c>
      <c r="C17" s="211"/>
      <c r="D17" s="211"/>
      <c r="E17" s="214" t="str">
        <f t="shared" si="0"/>
        <v/>
      </c>
      <c r="F17" s="211"/>
      <c r="G17" s="201" t="str">
        <f t="shared" si="1"/>
        <v/>
      </c>
      <c r="H17" s="214" t="str">
        <f t="shared" si="2"/>
        <v/>
      </c>
      <c r="I17" s="211"/>
      <c r="J17" s="211"/>
      <c r="K17" s="211"/>
      <c r="L17" s="211"/>
      <c r="M17" s="201" t="str">
        <f t="shared" si="3"/>
        <v/>
      </c>
      <c r="N17" s="201" t="str">
        <f t="shared" si="4"/>
        <v/>
      </c>
      <c r="O17" s="201" t="str">
        <f t="shared" si="5"/>
        <v/>
      </c>
      <c r="AZ17" s="194"/>
      <c r="BA17" s="194"/>
    </row>
    <row r="18" spans="2:53" x14ac:dyDescent="0.25">
      <c r="B18" s="193">
        <f>EDATE(DATE(_Setup!$B$4,10,1),ROW()-ROW($B$11))</f>
        <v>46143</v>
      </c>
      <c r="C18" s="211"/>
      <c r="D18" s="211"/>
      <c r="E18" s="214" t="str">
        <f t="shared" si="0"/>
        <v/>
      </c>
      <c r="F18" s="211"/>
      <c r="G18" s="201" t="str">
        <f t="shared" si="1"/>
        <v/>
      </c>
      <c r="H18" s="214" t="str">
        <f t="shared" si="2"/>
        <v/>
      </c>
      <c r="I18" s="211"/>
      <c r="J18" s="211"/>
      <c r="K18" s="211"/>
      <c r="L18" s="211"/>
      <c r="M18" s="201" t="str">
        <f t="shared" si="3"/>
        <v/>
      </c>
      <c r="N18" s="201" t="str">
        <f t="shared" si="4"/>
        <v/>
      </c>
      <c r="O18" s="201" t="str">
        <f t="shared" si="5"/>
        <v/>
      </c>
      <c r="AZ18" s="194"/>
      <c r="BA18" s="194"/>
    </row>
    <row r="19" spans="2:53" x14ac:dyDescent="0.25">
      <c r="B19" s="193">
        <f>EDATE(DATE(_Setup!$B$4,10,1),ROW()-ROW($B$11))</f>
        <v>46174</v>
      </c>
      <c r="C19" s="211"/>
      <c r="D19" s="211"/>
      <c r="E19" s="214" t="str">
        <f t="shared" si="0"/>
        <v/>
      </c>
      <c r="F19" s="211"/>
      <c r="G19" s="201" t="str">
        <f t="shared" si="1"/>
        <v/>
      </c>
      <c r="H19" s="214" t="str">
        <f t="shared" si="2"/>
        <v/>
      </c>
      <c r="I19" s="211"/>
      <c r="J19" s="211"/>
      <c r="K19" s="211"/>
      <c r="L19" s="211"/>
      <c r="M19" s="201" t="str">
        <f t="shared" si="3"/>
        <v/>
      </c>
      <c r="N19" s="201" t="str">
        <f t="shared" si="4"/>
        <v/>
      </c>
      <c r="O19" s="201" t="str">
        <f t="shared" si="5"/>
        <v/>
      </c>
      <c r="AZ19" s="194"/>
      <c r="BA19" s="194"/>
    </row>
    <row r="20" spans="2:53" x14ac:dyDescent="0.25">
      <c r="B20" s="193">
        <f>EDATE(DATE(_Setup!$B$4,10,1),ROW()-ROW($B$11))</f>
        <v>46204</v>
      </c>
      <c r="C20" s="211"/>
      <c r="D20" s="211"/>
      <c r="E20" s="214" t="str">
        <f t="shared" si="0"/>
        <v/>
      </c>
      <c r="F20" s="211"/>
      <c r="G20" s="201" t="str">
        <f t="shared" si="1"/>
        <v/>
      </c>
      <c r="H20" s="214" t="str">
        <f t="shared" si="2"/>
        <v/>
      </c>
      <c r="I20" s="211"/>
      <c r="J20" s="211"/>
      <c r="K20" s="211"/>
      <c r="L20" s="211"/>
      <c r="M20" s="201" t="str">
        <f t="shared" si="3"/>
        <v/>
      </c>
      <c r="N20" s="201" t="str">
        <f t="shared" si="4"/>
        <v/>
      </c>
      <c r="O20" s="201" t="str">
        <f t="shared" si="5"/>
        <v/>
      </c>
      <c r="AZ20" s="194"/>
      <c r="BA20" s="194"/>
    </row>
    <row r="21" spans="2:53" x14ac:dyDescent="0.25">
      <c r="B21" s="193">
        <f>EDATE(DATE(_Setup!$B$4,10,1),ROW()-ROW($B$11))</f>
        <v>46235</v>
      </c>
      <c r="C21" s="211"/>
      <c r="D21" s="211"/>
      <c r="E21" s="214" t="str">
        <f t="shared" si="0"/>
        <v/>
      </c>
      <c r="F21" s="211"/>
      <c r="G21" s="201" t="str">
        <f t="shared" si="1"/>
        <v/>
      </c>
      <c r="H21" s="214" t="str">
        <f t="shared" si="2"/>
        <v/>
      </c>
      <c r="I21" s="211"/>
      <c r="J21" s="211"/>
      <c r="K21" s="211"/>
      <c r="L21" s="211"/>
      <c r="M21" s="201" t="str">
        <f t="shared" si="3"/>
        <v/>
      </c>
      <c r="N21" s="201" t="str">
        <f t="shared" si="4"/>
        <v/>
      </c>
      <c r="O21" s="201" t="str">
        <f t="shared" si="5"/>
        <v/>
      </c>
      <c r="AZ21" s="194"/>
      <c r="BA21" s="194"/>
    </row>
    <row r="22" spans="2:53" x14ac:dyDescent="0.25">
      <c r="B22" s="193">
        <f>EDATE(DATE(_Setup!$B$4,10,1),ROW()-ROW($B$11))</f>
        <v>46266</v>
      </c>
      <c r="C22" s="211"/>
      <c r="D22" s="211"/>
      <c r="E22" s="214" t="str">
        <f t="shared" si="0"/>
        <v/>
      </c>
      <c r="F22" s="211"/>
      <c r="G22" s="201" t="str">
        <f t="shared" si="1"/>
        <v/>
      </c>
      <c r="H22" s="214" t="str">
        <f t="shared" si="2"/>
        <v/>
      </c>
      <c r="I22" s="211"/>
      <c r="J22" s="211"/>
      <c r="K22" s="211"/>
      <c r="L22" s="211"/>
      <c r="M22" s="201" t="str">
        <f t="shared" si="3"/>
        <v/>
      </c>
      <c r="N22" s="201" t="str">
        <f t="shared" si="4"/>
        <v/>
      </c>
      <c r="O22" s="201" t="str">
        <f t="shared" si="5"/>
        <v/>
      </c>
      <c r="AZ22" s="194"/>
      <c r="BA22" s="194"/>
    </row>
  </sheetData>
  <sheetProtection sheet="1" objects="1" scenarios="1" selectLockedCells="1"/>
  <mergeCells count="1">
    <mergeCell ref="A1:K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CK65"/>
  <sheetViews>
    <sheetView workbookViewId="0">
      <selection activeCell="B7" sqref="B7"/>
    </sheetView>
  </sheetViews>
  <sheetFormatPr defaultRowHeight="15" x14ac:dyDescent="0.25"/>
  <cols>
    <col min="2" max="2" width="15" customWidth="1"/>
  </cols>
  <sheetData>
    <row r="1" spans="1:89" x14ac:dyDescent="0.25">
      <c r="A1" s="172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</row>
    <row r="2" spans="1:89" x14ac:dyDescent="0.25">
      <c r="A2" s="172"/>
      <c r="B2" s="297" t="s">
        <v>109</v>
      </c>
      <c r="C2" s="253"/>
      <c r="D2" s="253"/>
      <c r="E2" s="253"/>
      <c r="F2" s="253"/>
      <c r="G2" s="253"/>
      <c r="H2" s="253"/>
      <c r="I2" s="253"/>
      <c r="J2" s="172"/>
      <c r="K2" s="297" t="s">
        <v>6</v>
      </c>
      <c r="L2" s="253"/>
      <c r="M2" s="253"/>
      <c r="N2" s="253"/>
      <c r="O2" s="253"/>
      <c r="P2" s="253"/>
      <c r="Q2" s="253"/>
      <c r="R2" s="253"/>
      <c r="S2" s="173"/>
      <c r="T2" t="s">
        <v>7</v>
      </c>
      <c r="AC2" t="s">
        <v>8</v>
      </c>
      <c r="AL2" t="s">
        <v>9</v>
      </c>
      <c r="AU2" t="s">
        <v>46</v>
      </c>
      <c r="BD2" t="s">
        <v>110</v>
      </c>
      <c r="BM2" t="s">
        <v>111</v>
      </c>
      <c r="BV2" t="s">
        <v>112</v>
      </c>
      <c r="CE2" t="s">
        <v>113</v>
      </c>
    </row>
    <row r="3" spans="1:89" x14ac:dyDescent="0.25">
      <c r="A3" s="172"/>
      <c r="B3" s="298" t="s">
        <v>114</v>
      </c>
      <c r="C3" s="253"/>
      <c r="D3" s="253"/>
      <c r="E3" s="256" t="s">
        <v>0</v>
      </c>
      <c r="F3" s="253"/>
      <c r="G3" s="253"/>
      <c r="H3" s="253"/>
      <c r="I3" s="253"/>
      <c r="J3" s="172"/>
      <c r="K3" s="298" t="s">
        <v>114</v>
      </c>
      <c r="L3" s="253"/>
      <c r="M3" s="253"/>
      <c r="N3" s="256" t="s">
        <v>0</v>
      </c>
      <c r="O3" s="253"/>
      <c r="P3" s="253"/>
      <c r="Q3" s="253"/>
      <c r="R3" s="253"/>
      <c r="S3" s="173"/>
      <c r="T3" t="s">
        <v>114</v>
      </c>
      <c r="W3" t="s">
        <v>0</v>
      </c>
      <c r="AC3" t="s">
        <v>114</v>
      </c>
      <c r="AF3" t="s">
        <v>0</v>
      </c>
      <c r="AL3" t="s">
        <v>114</v>
      </c>
      <c r="AO3" t="s">
        <v>0</v>
      </c>
      <c r="AU3" t="s">
        <v>114</v>
      </c>
      <c r="AX3" t="s">
        <v>0</v>
      </c>
      <c r="BD3" t="s">
        <v>114</v>
      </c>
      <c r="BG3" t="s">
        <v>0</v>
      </c>
      <c r="BM3" t="s">
        <v>114</v>
      </c>
      <c r="BP3" t="s">
        <v>0</v>
      </c>
      <c r="BV3" t="s">
        <v>114</v>
      </c>
      <c r="BY3" t="s">
        <v>0</v>
      </c>
      <c r="CE3" t="s">
        <v>114</v>
      </c>
      <c r="CH3" t="s">
        <v>0</v>
      </c>
    </row>
    <row r="4" spans="1:89" ht="55.15" customHeight="1" x14ac:dyDescent="0.25">
      <c r="A4" s="172"/>
      <c r="B4" s="299">
        <v>2025</v>
      </c>
      <c r="C4" s="253"/>
      <c r="D4" s="253"/>
      <c r="E4" s="51" t="s">
        <v>115</v>
      </c>
      <c r="F4" s="51" t="s">
        <v>116</v>
      </c>
      <c r="G4" s="60" t="s">
        <v>117</v>
      </c>
      <c r="H4" s="60" t="s">
        <v>118</v>
      </c>
      <c r="I4" s="51"/>
      <c r="J4" s="172"/>
      <c r="K4" s="291">
        <f>B4</f>
        <v>2025</v>
      </c>
      <c r="L4" s="292"/>
      <c r="M4" s="293"/>
      <c r="N4" s="51" t="s">
        <v>115</v>
      </c>
      <c r="O4" s="51" t="s">
        <v>116</v>
      </c>
      <c r="P4" s="60" t="s">
        <v>117</v>
      </c>
      <c r="Q4" s="60" t="s">
        <v>118</v>
      </c>
      <c r="R4" s="51"/>
      <c r="S4" s="173"/>
      <c r="T4">
        <f>B4</f>
        <v>2025</v>
      </c>
      <c r="W4" t="s">
        <v>115</v>
      </c>
      <c r="X4" t="s">
        <v>116</v>
      </c>
      <c r="Y4" t="s">
        <v>117</v>
      </c>
      <c r="Z4" t="s">
        <v>118</v>
      </c>
      <c r="AC4">
        <f>B4</f>
        <v>2025</v>
      </c>
      <c r="AF4" t="s">
        <v>115</v>
      </c>
      <c r="AG4" t="s">
        <v>116</v>
      </c>
      <c r="AH4" t="s">
        <v>117</v>
      </c>
      <c r="AI4" t="s">
        <v>118</v>
      </c>
      <c r="AL4">
        <f>B4</f>
        <v>2025</v>
      </c>
      <c r="AO4" t="s">
        <v>115</v>
      </c>
      <c r="AP4" t="s">
        <v>116</v>
      </c>
      <c r="AQ4" t="s">
        <v>117</v>
      </c>
      <c r="AR4" t="s">
        <v>118</v>
      </c>
      <c r="AU4">
        <f>B4</f>
        <v>2025</v>
      </c>
      <c r="AX4" t="s">
        <v>115</v>
      </c>
      <c r="AY4" t="s">
        <v>116</v>
      </c>
      <c r="AZ4" t="s">
        <v>117</v>
      </c>
      <c r="BA4" t="s">
        <v>118</v>
      </c>
      <c r="BD4">
        <f>B4</f>
        <v>2025</v>
      </c>
      <c r="BG4" t="s">
        <v>115</v>
      </c>
      <c r="BH4" t="s">
        <v>116</v>
      </c>
      <c r="BI4" t="s">
        <v>117</v>
      </c>
      <c r="BJ4" t="s">
        <v>118</v>
      </c>
      <c r="BM4">
        <f>B4</f>
        <v>2025</v>
      </c>
      <c r="BP4" t="s">
        <v>115</v>
      </c>
      <c r="BQ4" t="s">
        <v>116</v>
      </c>
      <c r="BR4" t="s">
        <v>117</v>
      </c>
      <c r="BS4" t="s">
        <v>118</v>
      </c>
      <c r="BV4">
        <f>B4</f>
        <v>2025</v>
      </c>
      <c r="BY4" t="s">
        <v>115</v>
      </c>
      <c r="BZ4" t="s">
        <v>116</v>
      </c>
      <c r="CA4" t="s">
        <v>117</v>
      </c>
      <c r="CB4" t="s">
        <v>118</v>
      </c>
      <c r="CE4">
        <f>B4</f>
        <v>2025</v>
      </c>
      <c r="CH4" t="s">
        <v>115</v>
      </c>
      <c r="CI4" t="s">
        <v>116</v>
      </c>
      <c r="CJ4" t="s">
        <v>117</v>
      </c>
      <c r="CK4" t="s">
        <v>118</v>
      </c>
    </row>
    <row r="5" spans="1:89" x14ac:dyDescent="0.25">
      <c r="A5" s="172"/>
      <c r="B5" s="253"/>
      <c r="C5" s="253"/>
      <c r="D5" s="253"/>
      <c r="E5" s="174">
        <v>0.9</v>
      </c>
      <c r="F5" s="174">
        <v>0.9</v>
      </c>
      <c r="G5" s="175">
        <v>0</v>
      </c>
      <c r="H5" s="175">
        <v>0</v>
      </c>
      <c r="I5" s="51"/>
      <c r="J5" s="172"/>
      <c r="K5" s="253"/>
      <c r="L5" s="253"/>
      <c r="M5" s="294"/>
      <c r="N5" s="176">
        <f>E5</f>
        <v>0.9</v>
      </c>
      <c r="O5" s="176">
        <f>F5</f>
        <v>0.9</v>
      </c>
      <c r="P5" s="177"/>
      <c r="Q5" s="177"/>
      <c r="R5" s="51"/>
      <c r="S5" s="173"/>
      <c r="W5">
        <f>E5</f>
        <v>0.9</v>
      </c>
      <c r="X5">
        <f>F5</f>
        <v>0.9</v>
      </c>
      <c r="AF5">
        <f>E5</f>
        <v>0.9</v>
      </c>
      <c r="AG5">
        <f>F5</f>
        <v>0.9</v>
      </c>
      <c r="AO5">
        <f>E5</f>
        <v>0.9</v>
      </c>
      <c r="AP5">
        <f>F5</f>
        <v>0.9</v>
      </c>
      <c r="AX5">
        <f>E5</f>
        <v>0.9</v>
      </c>
      <c r="AY5">
        <f>F5</f>
        <v>0.9</v>
      </c>
      <c r="BG5">
        <f>E5</f>
        <v>0.9</v>
      </c>
      <c r="BH5">
        <f>F5</f>
        <v>0.9</v>
      </c>
      <c r="BP5">
        <f>E5</f>
        <v>0.9</v>
      </c>
      <c r="BQ5">
        <f>F5</f>
        <v>0.9</v>
      </c>
      <c r="BY5">
        <f>E5</f>
        <v>0.9</v>
      </c>
      <c r="BZ5">
        <f>F5</f>
        <v>0.9</v>
      </c>
      <c r="CH5">
        <f>E5</f>
        <v>0.9</v>
      </c>
      <c r="CI5">
        <f>F5</f>
        <v>0.9</v>
      </c>
    </row>
    <row r="6" spans="1:89" x14ac:dyDescent="0.25">
      <c r="A6" s="172"/>
      <c r="B6" s="253"/>
      <c r="C6" s="253"/>
      <c r="D6" s="253"/>
      <c r="E6" s="178"/>
      <c r="F6" s="178"/>
      <c r="G6" s="178"/>
      <c r="H6" s="178"/>
      <c r="I6" s="178"/>
      <c r="J6" s="172"/>
      <c r="K6" s="295"/>
      <c r="L6" s="295"/>
      <c r="M6" s="296"/>
      <c r="N6" s="178"/>
      <c r="O6" s="178"/>
      <c r="P6" s="178"/>
      <c r="Q6" s="178"/>
      <c r="R6" s="178"/>
      <c r="S6" s="173"/>
    </row>
    <row r="7" spans="1:89" x14ac:dyDescent="0.25">
      <c r="A7" s="172"/>
      <c r="B7" s="146"/>
      <c r="C7" s="255" t="s">
        <v>1</v>
      </c>
      <c r="D7" s="253"/>
      <c r="E7" s="253"/>
      <c r="F7" s="253"/>
      <c r="G7" s="253"/>
      <c r="H7" s="253"/>
      <c r="I7" s="253"/>
      <c r="J7" s="172"/>
      <c r="K7" s="146"/>
      <c r="L7" s="255" t="s">
        <v>1</v>
      </c>
      <c r="M7" s="253"/>
      <c r="N7" s="253"/>
      <c r="O7" s="253"/>
      <c r="P7" s="253"/>
      <c r="Q7" s="253"/>
      <c r="R7" s="253"/>
      <c r="S7" s="173"/>
      <c r="U7" t="s">
        <v>1</v>
      </c>
      <c r="AD7" t="s">
        <v>1</v>
      </c>
      <c r="AM7" t="s">
        <v>1</v>
      </c>
      <c r="AV7" t="s">
        <v>1</v>
      </c>
      <c r="BE7" t="s">
        <v>1</v>
      </c>
      <c r="BN7" t="s">
        <v>1</v>
      </c>
      <c r="BW7" t="s">
        <v>1</v>
      </c>
      <c r="CF7" t="s">
        <v>1</v>
      </c>
    </row>
    <row r="8" spans="1:89" ht="43.15" customHeight="1" x14ac:dyDescent="0.25">
      <c r="A8" s="172"/>
      <c r="B8" s="146"/>
      <c r="C8" s="146" t="s">
        <v>119</v>
      </c>
      <c r="D8" s="146" t="s">
        <v>120</v>
      </c>
      <c r="E8" s="146" t="s">
        <v>37</v>
      </c>
      <c r="F8" s="146" t="s">
        <v>121</v>
      </c>
      <c r="G8" s="146" t="s">
        <v>122</v>
      </c>
      <c r="H8" s="146" t="s">
        <v>123</v>
      </c>
      <c r="I8" s="146"/>
      <c r="J8" s="172"/>
      <c r="K8" s="146"/>
      <c r="L8" s="146" t="s">
        <v>119</v>
      </c>
      <c r="M8" s="146" t="s">
        <v>120</v>
      </c>
      <c r="N8" s="146" t="s">
        <v>37</v>
      </c>
      <c r="O8" s="146" t="s">
        <v>121</v>
      </c>
      <c r="P8" s="146" t="s">
        <v>122</v>
      </c>
      <c r="Q8" s="146" t="s">
        <v>123</v>
      </c>
      <c r="R8" s="146"/>
      <c r="S8" s="173"/>
      <c r="U8" t="s">
        <v>119</v>
      </c>
      <c r="V8" t="s">
        <v>120</v>
      </c>
      <c r="W8" t="s">
        <v>37</v>
      </c>
      <c r="X8" t="s">
        <v>121</v>
      </c>
      <c r="Y8" t="s">
        <v>122</v>
      </c>
      <c r="Z8" t="s">
        <v>123</v>
      </c>
      <c r="AD8" t="s">
        <v>119</v>
      </c>
      <c r="AE8" t="s">
        <v>120</v>
      </c>
      <c r="AF8" t="s">
        <v>37</v>
      </c>
      <c r="AG8" t="s">
        <v>121</v>
      </c>
      <c r="AH8" t="s">
        <v>122</v>
      </c>
      <c r="AI8" t="s">
        <v>123</v>
      </c>
      <c r="AM8" t="s">
        <v>119</v>
      </c>
      <c r="AN8" t="s">
        <v>120</v>
      </c>
      <c r="AO8" t="s">
        <v>37</v>
      </c>
      <c r="AP8" t="s">
        <v>121</v>
      </c>
      <c r="AQ8" t="s">
        <v>122</v>
      </c>
      <c r="AR8" t="s">
        <v>123</v>
      </c>
      <c r="AV8" t="s">
        <v>119</v>
      </c>
      <c r="AW8" t="s">
        <v>120</v>
      </c>
      <c r="AX8" t="s">
        <v>37</v>
      </c>
      <c r="AY8" t="s">
        <v>121</v>
      </c>
      <c r="AZ8" t="s">
        <v>122</v>
      </c>
      <c r="BA8" t="s">
        <v>123</v>
      </c>
      <c r="BE8" t="s">
        <v>119</v>
      </c>
      <c r="BF8" t="s">
        <v>120</v>
      </c>
      <c r="BG8" t="s">
        <v>37</v>
      </c>
      <c r="BH8" t="s">
        <v>121</v>
      </c>
      <c r="BI8" t="s">
        <v>122</v>
      </c>
      <c r="BJ8" t="s">
        <v>123</v>
      </c>
      <c r="BN8" t="s">
        <v>119</v>
      </c>
      <c r="BO8" t="s">
        <v>120</v>
      </c>
      <c r="BP8" t="s">
        <v>37</v>
      </c>
      <c r="BQ8" t="s">
        <v>121</v>
      </c>
      <c r="BR8" t="s">
        <v>122</v>
      </c>
      <c r="BS8" t="s">
        <v>123</v>
      </c>
      <c r="BW8" t="s">
        <v>119</v>
      </c>
      <c r="BX8" t="s">
        <v>120</v>
      </c>
      <c r="BY8" t="s">
        <v>37</v>
      </c>
      <c r="BZ8" t="s">
        <v>121</v>
      </c>
      <c r="CA8" t="s">
        <v>122</v>
      </c>
      <c r="CB8" t="s">
        <v>123</v>
      </c>
      <c r="CF8" t="s">
        <v>119</v>
      </c>
      <c r="CG8" t="s">
        <v>120</v>
      </c>
      <c r="CH8" t="s">
        <v>37</v>
      </c>
      <c r="CI8" t="s">
        <v>121</v>
      </c>
      <c r="CJ8" t="s">
        <v>122</v>
      </c>
      <c r="CK8" t="s">
        <v>123</v>
      </c>
    </row>
    <row r="9" spans="1:89" x14ac:dyDescent="0.25">
      <c r="A9" s="172"/>
      <c r="B9" s="146"/>
      <c r="C9" s="154" t="s">
        <v>47</v>
      </c>
      <c r="D9" s="174">
        <v>0.8</v>
      </c>
      <c r="E9" s="175">
        <v>0</v>
      </c>
      <c r="F9" s="175" t="s">
        <v>124</v>
      </c>
      <c r="G9" s="175">
        <v>0</v>
      </c>
      <c r="H9" s="175">
        <v>0</v>
      </c>
      <c r="I9" s="146"/>
      <c r="J9" s="172"/>
      <c r="K9" s="146"/>
      <c r="L9" s="179" t="str">
        <f>C9</f>
        <v>NA</v>
      </c>
      <c r="M9" s="180">
        <f>D9</f>
        <v>0.8</v>
      </c>
      <c r="N9" s="175"/>
      <c r="O9" s="175"/>
      <c r="P9" s="175"/>
      <c r="Q9" s="175"/>
      <c r="R9" s="146"/>
      <c r="S9" s="173"/>
      <c r="U9" t="str">
        <f>C9</f>
        <v>NA</v>
      </c>
      <c r="V9">
        <f>D9</f>
        <v>0.8</v>
      </c>
      <c r="AD9" t="str">
        <f>C9</f>
        <v>NA</v>
      </c>
      <c r="AE9">
        <f>D9</f>
        <v>0.8</v>
      </c>
      <c r="AM9" t="str">
        <f>C9</f>
        <v>NA</v>
      </c>
      <c r="AN9">
        <f>D9</f>
        <v>0.8</v>
      </c>
      <c r="AV9" t="str">
        <f>C9</f>
        <v>NA</v>
      </c>
      <c r="AW9">
        <f>D9</f>
        <v>0.8</v>
      </c>
      <c r="BE9" t="str">
        <f>C9</f>
        <v>NA</v>
      </c>
      <c r="BF9">
        <f>D9</f>
        <v>0.8</v>
      </c>
      <c r="BN9" t="str">
        <f>C9</f>
        <v>NA</v>
      </c>
      <c r="BO9">
        <f>D9</f>
        <v>0.8</v>
      </c>
      <c r="BW9" t="str">
        <f>C9</f>
        <v>NA</v>
      </c>
      <c r="BX9">
        <f>D9</f>
        <v>0.8</v>
      </c>
      <c r="CF9" t="str">
        <f>C9</f>
        <v>NA</v>
      </c>
      <c r="CG9">
        <f>D9</f>
        <v>0.8</v>
      </c>
    </row>
    <row r="10" spans="1:89" x14ac:dyDescent="0.25">
      <c r="A10" s="172"/>
      <c r="B10" s="146"/>
      <c r="C10" s="146"/>
      <c r="D10" s="146"/>
      <c r="E10" s="146"/>
      <c r="F10" s="146"/>
      <c r="G10" s="146"/>
      <c r="H10" s="146"/>
      <c r="I10" s="146"/>
      <c r="J10" s="172"/>
      <c r="K10" s="146"/>
      <c r="L10" s="146"/>
      <c r="M10" s="146"/>
      <c r="N10" s="146"/>
      <c r="O10" s="146"/>
      <c r="P10" s="146"/>
      <c r="Q10" s="146"/>
      <c r="R10" s="146"/>
      <c r="S10" s="173"/>
    </row>
    <row r="11" spans="1:89" ht="28.9" customHeight="1" x14ac:dyDescent="0.25">
      <c r="A11" s="172"/>
      <c r="B11" s="181"/>
      <c r="C11" s="181"/>
      <c r="D11" s="182" t="s">
        <v>125</v>
      </c>
      <c r="E11" s="182"/>
      <c r="F11" s="181"/>
      <c r="G11" s="290" t="s">
        <v>126</v>
      </c>
      <c r="H11" s="253"/>
      <c r="I11" s="56"/>
      <c r="J11" s="172"/>
      <c r="K11" s="181"/>
      <c r="L11" s="181"/>
      <c r="M11" s="182" t="s">
        <v>125</v>
      </c>
      <c r="N11" s="182"/>
      <c r="O11" s="181"/>
      <c r="P11" s="290" t="s">
        <v>126</v>
      </c>
      <c r="Q11" s="253"/>
      <c r="R11" s="56"/>
      <c r="S11" s="173"/>
      <c r="V11" t="s">
        <v>125</v>
      </c>
      <c r="Y11" t="s">
        <v>126</v>
      </c>
      <c r="AE11" t="s">
        <v>125</v>
      </c>
      <c r="AH11" t="s">
        <v>126</v>
      </c>
      <c r="AN11" t="s">
        <v>125</v>
      </c>
      <c r="AQ11" t="s">
        <v>126</v>
      </c>
      <c r="AW11" t="s">
        <v>125</v>
      </c>
      <c r="AZ11" t="s">
        <v>126</v>
      </c>
      <c r="BF11" t="s">
        <v>125</v>
      </c>
      <c r="BI11" t="s">
        <v>126</v>
      </c>
      <c r="BO11" t="s">
        <v>125</v>
      </c>
      <c r="BR11" t="s">
        <v>126</v>
      </c>
      <c r="BX11" t="s">
        <v>125</v>
      </c>
      <c r="CA11" t="s">
        <v>126</v>
      </c>
      <c r="CG11" t="s">
        <v>125</v>
      </c>
      <c r="CJ11" t="s">
        <v>126</v>
      </c>
    </row>
    <row r="12" spans="1:89" ht="57.6" customHeight="1" x14ac:dyDescent="0.25">
      <c r="A12" s="172"/>
      <c r="B12" s="181"/>
      <c r="C12" s="181" t="s">
        <v>127</v>
      </c>
      <c r="D12" s="181" t="s">
        <v>24</v>
      </c>
      <c r="E12" s="181" t="s">
        <v>25</v>
      </c>
      <c r="F12" s="181"/>
      <c r="G12" s="183" t="s">
        <v>26</v>
      </c>
      <c r="H12" s="183" t="s">
        <v>128</v>
      </c>
      <c r="I12" s="56"/>
      <c r="J12" s="172"/>
      <c r="K12" s="181"/>
      <c r="L12" s="181" t="s">
        <v>127</v>
      </c>
      <c r="M12" s="181" t="s">
        <v>24</v>
      </c>
      <c r="N12" s="181" t="s">
        <v>25</v>
      </c>
      <c r="O12" s="181"/>
      <c r="P12" s="183" t="s">
        <v>26</v>
      </c>
      <c r="Q12" s="183" t="s">
        <v>128</v>
      </c>
      <c r="R12" s="56"/>
      <c r="S12" s="173"/>
      <c r="U12" t="s">
        <v>127</v>
      </c>
      <c r="V12" t="s">
        <v>24</v>
      </c>
      <c r="W12" t="s">
        <v>25</v>
      </c>
      <c r="Y12" t="s">
        <v>26</v>
      </c>
      <c r="Z12" t="s">
        <v>128</v>
      </c>
      <c r="AD12" t="s">
        <v>127</v>
      </c>
      <c r="AE12" t="s">
        <v>24</v>
      </c>
      <c r="AF12" t="s">
        <v>25</v>
      </c>
      <c r="AH12" t="s">
        <v>26</v>
      </c>
      <c r="AI12" t="s">
        <v>128</v>
      </c>
      <c r="AM12" t="s">
        <v>127</v>
      </c>
      <c r="AN12" t="s">
        <v>24</v>
      </c>
      <c r="AO12" t="s">
        <v>25</v>
      </c>
      <c r="AQ12" t="s">
        <v>26</v>
      </c>
      <c r="AR12" t="s">
        <v>128</v>
      </c>
      <c r="AV12" t="s">
        <v>127</v>
      </c>
      <c r="AW12" t="s">
        <v>24</v>
      </c>
      <c r="AX12" t="s">
        <v>25</v>
      </c>
      <c r="AZ12" t="s">
        <v>26</v>
      </c>
      <c r="BA12" t="s">
        <v>128</v>
      </c>
      <c r="BE12" t="s">
        <v>127</v>
      </c>
      <c r="BF12" t="s">
        <v>24</v>
      </c>
      <c r="BG12" t="s">
        <v>25</v>
      </c>
      <c r="BI12" t="s">
        <v>26</v>
      </c>
      <c r="BJ12" t="s">
        <v>128</v>
      </c>
      <c r="BN12" t="s">
        <v>127</v>
      </c>
      <c r="BO12" t="s">
        <v>24</v>
      </c>
      <c r="BP12" t="s">
        <v>25</v>
      </c>
      <c r="BR12" t="s">
        <v>26</v>
      </c>
      <c r="BS12" t="s">
        <v>128</v>
      </c>
      <c r="BW12" t="s">
        <v>127</v>
      </c>
      <c r="BX12" t="s">
        <v>24</v>
      </c>
      <c r="BY12" t="s">
        <v>25</v>
      </c>
      <c r="CA12" t="s">
        <v>26</v>
      </c>
      <c r="CB12" t="s">
        <v>128</v>
      </c>
      <c r="CF12" t="s">
        <v>127</v>
      </c>
      <c r="CG12" t="s">
        <v>24</v>
      </c>
      <c r="CH12" t="s">
        <v>25</v>
      </c>
      <c r="CJ12" t="s">
        <v>26</v>
      </c>
      <c r="CK12" t="s">
        <v>128</v>
      </c>
    </row>
    <row r="13" spans="1:89" x14ac:dyDescent="0.25">
      <c r="A13" s="172"/>
      <c r="B13" s="181"/>
      <c r="C13" s="184">
        <v>1</v>
      </c>
      <c r="D13" s="175">
        <v>0</v>
      </c>
      <c r="E13" s="175">
        <v>0</v>
      </c>
      <c r="F13" s="181"/>
      <c r="G13" s="175">
        <v>0</v>
      </c>
      <c r="H13" s="175">
        <v>0</v>
      </c>
      <c r="I13" s="56"/>
      <c r="J13" s="172"/>
      <c r="K13" s="181"/>
      <c r="L13" s="185">
        <f>C13</f>
        <v>1</v>
      </c>
      <c r="M13" s="175"/>
      <c r="N13" s="175"/>
      <c r="O13" s="181"/>
      <c r="P13" s="175"/>
      <c r="Q13" s="175"/>
      <c r="R13" s="56"/>
      <c r="S13" s="173"/>
      <c r="U13">
        <f>C13</f>
        <v>1</v>
      </c>
      <c r="AD13">
        <f>C13</f>
        <v>1</v>
      </c>
      <c r="AM13">
        <f>C13</f>
        <v>1</v>
      </c>
      <c r="AV13">
        <f>C13</f>
        <v>1</v>
      </c>
      <c r="BE13">
        <f>C13</f>
        <v>1</v>
      </c>
      <c r="BN13">
        <f>C13</f>
        <v>1</v>
      </c>
      <c r="BW13">
        <f>C13</f>
        <v>1</v>
      </c>
      <c r="CF13">
        <f>C13</f>
        <v>1</v>
      </c>
    </row>
    <row r="14" spans="1:89" x14ac:dyDescent="0.25">
      <c r="A14" s="172"/>
      <c r="B14" s="181"/>
      <c r="C14" s="181"/>
      <c r="D14" s="181"/>
      <c r="E14" s="181"/>
      <c r="F14" s="181"/>
      <c r="G14" s="183"/>
      <c r="H14" s="183"/>
      <c r="I14" s="56"/>
      <c r="J14" s="172"/>
      <c r="K14" s="181"/>
      <c r="L14" s="181"/>
      <c r="M14" s="181"/>
      <c r="N14" s="181"/>
      <c r="O14" s="181"/>
      <c r="P14" s="183"/>
      <c r="Q14" s="183"/>
      <c r="R14" s="56"/>
      <c r="S14" s="173"/>
    </row>
    <row r="15" spans="1:89" x14ac:dyDescent="0.25">
      <c r="A15" s="172"/>
      <c r="B15" s="148"/>
      <c r="C15" s="289" t="s">
        <v>129</v>
      </c>
      <c r="D15" s="253"/>
      <c r="E15" s="253"/>
      <c r="F15" s="148"/>
      <c r="G15" s="186"/>
      <c r="H15" s="186"/>
      <c r="I15" s="186"/>
      <c r="J15" s="172"/>
      <c r="K15" s="148"/>
      <c r="L15" s="289" t="s">
        <v>129</v>
      </c>
      <c r="M15" s="253"/>
      <c r="N15" s="253"/>
      <c r="O15" s="148"/>
      <c r="P15" s="186"/>
      <c r="Q15" s="186"/>
      <c r="R15" s="186"/>
      <c r="S15" s="173"/>
      <c r="U15" t="s">
        <v>129</v>
      </c>
      <c r="AD15" t="s">
        <v>129</v>
      </c>
      <c r="AM15" t="s">
        <v>129</v>
      </c>
      <c r="AV15" t="s">
        <v>129</v>
      </c>
      <c r="BE15" t="s">
        <v>129</v>
      </c>
      <c r="BN15" t="s">
        <v>129</v>
      </c>
      <c r="BW15" t="s">
        <v>129</v>
      </c>
      <c r="CF15" t="s">
        <v>129</v>
      </c>
    </row>
    <row r="16" spans="1:89" ht="57.6" customHeight="1" x14ac:dyDescent="0.25">
      <c r="A16" s="172"/>
      <c r="B16" s="148"/>
      <c r="C16" s="148" t="s">
        <v>130</v>
      </c>
      <c r="D16" s="148" t="s">
        <v>131</v>
      </c>
      <c r="E16" s="148" t="s">
        <v>132</v>
      </c>
      <c r="F16" s="148"/>
      <c r="G16" s="186"/>
      <c r="H16" s="186"/>
      <c r="I16" s="186"/>
      <c r="J16" s="172"/>
      <c r="K16" s="148"/>
      <c r="L16" s="148" t="s">
        <v>130</v>
      </c>
      <c r="M16" s="148" t="s">
        <v>131</v>
      </c>
      <c r="N16" s="148" t="s">
        <v>132</v>
      </c>
      <c r="O16" s="148"/>
      <c r="P16" s="186"/>
      <c r="Q16" s="186"/>
      <c r="R16" s="186"/>
      <c r="S16" s="173"/>
      <c r="U16" t="s">
        <v>130</v>
      </c>
      <c r="V16" t="s">
        <v>131</v>
      </c>
      <c r="W16" t="s">
        <v>132</v>
      </c>
      <c r="AD16" t="s">
        <v>130</v>
      </c>
      <c r="AE16" t="s">
        <v>131</v>
      </c>
      <c r="AF16" t="s">
        <v>132</v>
      </c>
      <c r="AM16" t="s">
        <v>130</v>
      </c>
      <c r="AN16" t="s">
        <v>131</v>
      </c>
      <c r="AO16" t="s">
        <v>132</v>
      </c>
      <c r="AV16" t="s">
        <v>130</v>
      </c>
      <c r="AW16" t="s">
        <v>131</v>
      </c>
      <c r="AX16" t="s">
        <v>132</v>
      </c>
      <c r="BE16" t="s">
        <v>130</v>
      </c>
      <c r="BF16" t="s">
        <v>131</v>
      </c>
      <c r="BG16" t="s">
        <v>132</v>
      </c>
      <c r="BN16" t="s">
        <v>130</v>
      </c>
      <c r="BO16" t="s">
        <v>131</v>
      </c>
      <c r="BP16" t="s">
        <v>132</v>
      </c>
      <c r="BW16" t="s">
        <v>130</v>
      </c>
      <c r="BX16" t="s">
        <v>131</v>
      </c>
      <c r="BY16" t="s">
        <v>132</v>
      </c>
      <c r="CF16" t="s">
        <v>130</v>
      </c>
      <c r="CG16" t="s">
        <v>131</v>
      </c>
      <c r="CH16" t="s">
        <v>132</v>
      </c>
    </row>
    <row r="17" spans="1:89" x14ac:dyDescent="0.25">
      <c r="A17" s="172"/>
      <c r="B17" s="148"/>
      <c r="C17" s="175">
        <v>3.5</v>
      </c>
      <c r="D17" s="175">
        <v>3.5</v>
      </c>
      <c r="E17" s="175">
        <v>3.5</v>
      </c>
      <c r="F17" s="148"/>
      <c r="G17" s="186"/>
      <c r="H17" s="186"/>
      <c r="I17" s="186"/>
      <c r="J17" s="172"/>
      <c r="K17" s="148"/>
      <c r="L17" s="187">
        <f>C17</f>
        <v>3.5</v>
      </c>
      <c r="M17" s="187">
        <f>D17</f>
        <v>3.5</v>
      </c>
      <c r="N17" s="187">
        <f>E17</f>
        <v>3.5</v>
      </c>
      <c r="O17" s="148"/>
      <c r="P17" s="186"/>
      <c r="Q17" s="186"/>
      <c r="R17" s="186"/>
      <c r="S17" s="173"/>
      <c r="U17">
        <f>C17</f>
        <v>3.5</v>
      </c>
      <c r="V17">
        <f>D17</f>
        <v>3.5</v>
      </c>
      <c r="W17">
        <f>E17</f>
        <v>3.5</v>
      </c>
      <c r="AD17">
        <f>C17</f>
        <v>3.5</v>
      </c>
      <c r="AE17">
        <f>D17</f>
        <v>3.5</v>
      </c>
      <c r="AF17">
        <f>E17</f>
        <v>3.5</v>
      </c>
      <c r="AM17">
        <f>C17</f>
        <v>3.5</v>
      </c>
      <c r="AN17">
        <f>D17</f>
        <v>3.5</v>
      </c>
      <c r="AO17">
        <f>E17</f>
        <v>3.5</v>
      </c>
      <c r="AV17">
        <f>C17</f>
        <v>3.5</v>
      </c>
      <c r="AW17">
        <f>D17</f>
        <v>3.5</v>
      </c>
      <c r="AX17">
        <f>E17</f>
        <v>3.5</v>
      </c>
      <c r="BE17">
        <f>C17</f>
        <v>3.5</v>
      </c>
      <c r="BF17">
        <f>D17</f>
        <v>3.5</v>
      </c>
      <c r="BG17">
        <f>E17</f>
        <v>3.5</v>
      </c>
      <c r="BN17">
        <f>C17</f>
        <v>3.5</v>
      </c>
      <c r="BO17">
        <f>D17</f>
        <v>3.5</v>
      </c>
      <c r="BP17">
        <f>E17</f>
        <v>3.5</v>
      </c>
      <c r="BW17">
        <f>C17</f>
        <v>3.5</v>
      </c>
      <c r="BX17">
        <f>D17</f>
        <v>3.5</v>
      </c>
      <c r="BY17">
        <f>E17</f>
        <v>3.5</v>
      </c>
      <c r="CF17">
        <f>C17</f>
        <v>3.5</v>
      </c>
      <c r="CG17">
        <f>D17</f>
        <v>3.5</v>
      </c>
      <c r="CH17">
        <f>E17</f>
        <v>3.5</v>
      </c>
    </row>
    <row r="18" spans="1:89" x14ac:dyDescent="0.25">
      <c r="A18" s="172"/>
      <c r="B18" s="148"/>
      <c r="C18" s="148"/>
      <c r="D18" s="148"/>
      <c r="E18" s="148"/>
      <c r="F18" s="148"/>
      <c r="G18" s="186"/>
      <c r="H18" s="186"/>
      <c r="I18" s="186"/>
      <c r="J18" s="172"/>
      <c r="K18" s="148"/>
      <c r="L18" s="148"/>
      <c r="M18" s="148"/>
      <c r="N18" s="148"/>
      <c r="O18" s="148"/>
      <c r="P18" s="186"/>
      <c r="Q18" s="186"/>
      <c r="R18" s="186"/>
      <c r="S18" s="173"/>
    </row>
    <row r="19" spans="1:89" x14ac:dyDescent="0.25">
      <c r="A19" s="172"/>
      <c r="B19" s="300" t="s">
        <v>46</v>
      </c>
      <c r="C19" s="253"/>
      <c r="D19" s="253"/>
      <c r="E19" s="253"/>
      <c r="F19" s="253"/>
      <c r="G19" s="253"/>
      <c r="H19" s="253"/>
      <c r="I19" s="186"/>
      <c r="J19" s="172"/>
      <c r="K19" s="173"/>
      <c r="L19" s="173"/>
      <c r="M19" s="173"/>
      <c r="N19" s="173"/>
      <c r="O19" s="173"/>
      <c r="P19" s="173"/>
      <c r="Q19" s="173"/>
      <c r="R19" s="173"/>
      <c r="S19" s="173"/>
    </row>
    <row r="20" spans="1:89" ht="72" customHeight="1" x14ac:dyDescent="0.25">
      <c r="A20" s="172"/>
      <c r="B20" s="58"/>
      <c r="C20" s="58" t="s">
        <v>133</v>
      </c>
      <c r="D20" s="58" t="s">
        <v>134</v>
      </c>
      <c r="E20" s="58" t="s">
        <v>135</v>
      </c>
      <c r="F20" s="58" t="s">
        <v>136</v>
      </c>
      <c r="G20" s="58" t="s">
        <v>137</v>
      </c>
      <c r="H20" s="58"/>
      <c r="I20" s="186"/>
      <c r="J20" s="172"/>
      <c r="K20" s="173"/>
      <c r="L20" s="173"/>
      <c r="M20" s="173"/>
      <c r="N20" s="173"/>
      <c r="O20" s="173"/>
      <c r="P20" s="173"/>
      <c r="Q20" s="173"/>
      <c r="R20" s="173"/>
      <c r="S20" s="173"/>
    </row>
    <row r="21" spans="1:89" x14ac:dyDescent="0.25">
      <c r="A21" s="172"/>
      <c r="B21" s="58"/>
      <c r="C21" s="175" t="s">
        <v>138</v>
      </c>
      <c r="D21" s="175" t="s">
        <v>138</v>
      </c>
      <c r="E21" s="175" t="s">
        <v>139</v>
      </c>
      <c r="F21" s="175">
        <v>3</v>
      </c>
      <c r="G21" s="175">
        <v>1000</v>
      </c>
      <c r="H21" s="58"/>
      <c r="I21" s="186"/>
      <c r="J21" s="172"/>
      <c r="K21" s="173"/>
      <c r="L21" s="173"/>
      <c r="M21" s="173"/>
      <c r="N21" s="173"/>
      <c r="O21" s="173"/>
      <c r="P21" s="173"/>
      <c r="Q21" s="173"/>
      <c r="R21" s="173"/>
      <c r="S21" s="173"/>
    </row>
    <row r="22" spans="1:89" x14ac:dyDescent="0.25">
      <c r="A22" s="172"/>
      <c r="B22" s="58"/>
      <c r="C22" s="58"/>
      <c r="D22" s="58"/>
      <c r="E22" s="58"/>
      <c r="F22" s="58"/>
      <c r="G22" s="58"/>
      <c r="H22" s="58"/>
      <c r="I22" s="186"/>
      <c r="J22" s="172"/>
      <c r="K22" s="173"/>
      <c r="L22" s="173"/>
      <c r="M22" s="173"/>
      <c r="N22" s="173"/>
      <c r="O22" s="173"/>
      <c r="P22" s="173"/>
      <c r="Q22" s="173"/>
      <c r="R22" s="173"/>
      <c r="S22" s="173"/>
    </row>
    <row r="23" spans="1:89" x14ac:dyDescent="0.25">
      <c r="A23" s="172"/>
      <c r="B23" s="173"/>
      <c r="C23" s="173"/>
      <c r="D23" s="173"/>
      <c r="E23" s="173"/>
      <c r="F23" s="173"/>
      <c r="G23" s="173"/>
      <c r="H23" s="173"/>
      <c r="I23" s="173"/>
      <c r="J23" s="172"/>
      <c r="K23" s="173"/>
      <c r="L23" s="173"/>
      <c r="M23" s="173"/>
      <c r="N23" s="173"/>
      <c r="O23" s="173"/>
      <c r="P23" s="173"/>
      <c r="Q23" s="173"/>
      <c r="R23" s="173"/>
      <c r="S23" s="173"/>
    </row>
    <row r="24" spans="1:89" x14ac:dyDescent="0.25">
      <c r="A24" s="172"/>
      <c r="B24" s="297" t="s">
        <v>7</v>
      </c>
      <c r="C24" s="253"/>
      <c r="D24" s="253"/>
      <c r="E24" s="253"/>
      <c r="F24" s="253"/>
      <c r="G24" s="253"/>
      <c r="H24" s="253"/>
      <c r="I24" s="253"/>
      <c r="J24" s="172"/>
      <c r="K24" s="297" t="s">
        <v>8</v>
      </c>
      <c r="L24" s="253"/>
      <c r="M24" s="253"/>
      <c r="N24" s="253"/>
      <c r="O24" s="253"/>
      <c r="P24" s="253"/>
      <c r="Q24" s="253"/>
      <c r="R24" s="253"/>
      <c r="S24" s="173"/>
      <c r="T24" t="s">
        <v>8</v>
      </c>
      <c r="AC24" t="s">
        <v>8</v>
      </c>
      <c r="AL24" t="s">
        <v>8</v>
      </c>
      <c r="AU24" t="s">
        <v>8</v>
      </c>
      <c r="BD24" t="s">
        <v>8</v>
      </c>
      <c r="BM24" t="s">
        <v>8</v>
      </c>
      <c r="BV24" t="s">
        <v>8</v>
      </c>
      <c r="CE24" t="s">
        <v>8</v>
      </c>
    </row>
    <row r="25" spans="1:89" x14ac:dyDescent="0.25">
      <c r="A25" s="172"/>
      <c r="B25" s="298" t="s">
        <v>114</v>
      </c>
      <c r="C25" s="253"/>
      <c r="D25" s="253"/>
      <c r="E25" s="256" t="s">
        <v>0</v>
      </c>
      <c r="F25" s="253"/>
      <c r="G25" s="253"/>
      <c r="H25" s="253"/>
      <c r="I25" s="253"/>
      <c r="J25" s="172"/>
      <c r="K25" s="298" t="s">
        <v>114</v>
      </c>
      <c r="L25" s="253"/>
      <c r="M25" s="253"/>
      <c r="N25" s="256" t="s">
        <v>0</v>
      </c>
      <c r="O25" s="253"/>
      <c r="P25" s="253"/>
      <c r="Q25" s="253"/>
      <c r="R25" s="253"/>
      <c r="S25" s="173"/>
      <c r="T25" t="s">
        <v>114</v>
      </c>
      <c r="W25" t="s">
        <v>0</v>
      </c>
      <c r="AC25" t="s">
        <v>114</v>
      </c>
      <c r="AF25" t="s">
        <v>0</v>
      </c>
      <c r="AL25" t="s">
        <v>114</v>
      </c>
      <c r="AO25" t="s">
        <v>0</v>
      </c>
      <c r="AU25" t="s">
        <v>114</v>
      </c>
      <c r="AX25" t="s">
        <v>0</v>
      </c>
      <c r="BD25" t="s">
        <v>114</v>
      </c>
      <c r="BG25" t="s">
        <v>0</v>
      </c>
      <c r="BM25" t="s">
        <v>114</v>
      </c>
      <c r="BP25" t="s">
        <v>0</v>
      </c>
      <c r="BV25" t="s">
        <v>114</v>
      </c>
      <c r="BY25" t="s">
        <v>0</v>
      </c>
      <c r="CE25" t="s">
        <v>114</v>
      </c>
      <c r="CH25" t="s">
        <v>0</v>
      </c>
    </row>
    <row r="26" spans="1:89" ht="55.15" customHeight="1" x14ac:dyDescent="0.25">
      <c r="A26" s="172"/>
      <c r="B26" s="291">
        <f>B4</f>
        <v>2025</v>
      </c>
      <c r="C26" s="292"/>
      <c r="D26" s="293"/>
      <c r="E26" s="51" t="s">
        <v>115</v>
      </c>
      <c r="F26" s="51" t="s">
        <v>116</v>
      </c>
      <c r="G26" s="60" t="s">
        <v>117</v>
      </c>
      <c r="H26" s="60" t="s">
        <v>118</v>
      </c>
      <c r="I26" s="51"/>
      <c r="J26" s="172"/>
      <c r="K26" s="291">
        <f>B4</f>
        <v>2025</v>
      </c>
      <c r="L26" s="292"/>
      <c r="M26" s="293"/>
      <c r="N26" s="51" t="s">
        <v>115</v>
      </c>
      <c r="O26" s="51" t="s">
        <v>116</v>
      </c>
      <c r="P26" s="60" t="s">
        <v>117</v>
      </c>
      <c r="Q26" s="60" t="s">
        <v>118</v>
      </c>
      <c r="R26" s="51"/>
      <c r="S26" s="173"/>
      <c r="T26">
        <f>B4</f>
        <v>2025</v>
      </c>
      <c r="W26" t="s">
        <v>115</v>
      </c>
      <c r="X26" t="s">
        <v>116</v>
      </c>
      <c r="Y26" t="s">
        <v>117</v>
      </c>
      <c r="Z26" t="s">
        <v>118</v>
      </c>
      <c r="AC26">
        <f>B4</f>
        <v>2025</v>
      </c>
      <c r="AF26" t="s">
        <v>115</v>
      </c>
      <c r="AG26" t="s">
        <v>116</v>
      </c>
      <c r="AH26" t="s">
        <v>117</v>
      </c>
      <c r="AI26" t="s">
        <v>118</v>
      </c>
      <c r="AL26">
        <f>B4</f>
        <v>2025</v>
      </c>
      <c r="AO26" t="s">
        <v>115</v>
      </c>
      <c r="AP26" t="s">
        <v>116</v>
      </c>
      <c r="AQ26" t="s">
        <v>117</v>
      </c>
      <c r="AR26" t="s">
        <v>118</v>
      </c>
      <c r="AU26">
        <f>B4</f>
        <v>2025</v>
      </c>
      <c r="AX26" t="s">
        <v>115</v>
      </c>
      <c r="AY26" t="s">
        <v>116</v>
      </c>
      <c r="AZ26" t="s">
        <v>117</v>
      </c>
      <c r="BA26" t="s">
        <v>118</v>
      </c>
      <c r="BD26">
        <f>B4</f>
        <v>2025</v>
      </c>
      <c r="BG26" t="s">
        <v>115</v>
      </c>
      <c r="BH26" t="s">
        <v>116</v>
      </c>
      <c r="BI26" t="s">
        <v>117</v>
      </c>
      <c r="BJ26" t="s">
        <v>118</v>
      </c>
      <c r="BM26">
        <f>B4</f>
        <v>2025</v>
      </c>
      <c r="BP26" t="s">
        <v>115</v>
      </c>
      <c r="BQ26" t="s">
        <v>116</v>
      </c>
      <c r="BR26" t="s">
        <v>117</v>
      </c>
      <c r="BS26" t="s">
        <v>118</v>
      </c>
      <c r="BV26">
        <f>B4</f>
        <v>2025</v>
      </c>
      <c r="BY26" t="s">
        <v>115</v>
      </c>
      <c r="BZ26" t="s">
        <v>116</v>
      </c>
      <c r="CA26" t="s">
        <v>117</v>
      </c>
      <c r="CB26" t="s">
        <v>118</v>
      </c>
      <c r="CE26">
        <f>B4</f>
        <v>2025</v>
      </c>
      <c r="CH26" t="s">
        <v>115</v>
      </c>
      <c r="CI26" t="s">
        <v>116</v>
      </c>
      <c r="CJ26" t="s">
        <v>117</v>
      </c>
      <c r="CK26" t="s">
        <v>118</v>
      </c>
    </row>
    <row r="27" spans="1:89" x14ac:dyDescent="0.25">
      <c r="A27" s="172"/>
      <c r="B27" s="253"/>
      <c r="C27" s="253"/>
      <c r="D27" s="294"/>
      <c r="E27" s="176">
        <f>E5</f>
        <v>0.9</v>
      </c>
      <c r="F27" s="176">
        <f>F5</f>
        <v>0.9</v>
      </c>
      <c r="G27" s="177"/>
      <c r="H27" s="177"/>
      <c r="I27" s="51"/>
      <c r="J27" s="172"/>
      <c r="K27" s="253"/>
      <c r="L27" s="253"/>
      <c r="M27" s="294"/>
      <c r="N27" s="176">
        <f>E5</f>
        <v>0.9</v>
      </c>
      <c r="O27" s="176">
        <f>F5</f>
        <v>0.9</v>
      </c>
      <c r="P27" s="177"/>
      <c r="Q27" s="177"/>
      <c r="R27" s="51"/>
      <c r="S27" s="173"/>
      <c r="W27">
        <f>E5</f>
        <v>0.9</v>
      </c>
      <c r="X27">
        <f>F5</f>
        <v>0.9</v>
      </c>
      <c r="AF27">
        <f>E5</f>
        <v>0.9</v>
      </c>
      <c r="AG27">
        <f>F5</f>
        <v>0.9</v>
      </c>
      <c r="AO27">
        <f>E5</f>
        <v>0.9</v>
      </c>
      <c r="AP27">
        <f>F5</f>
        <v>0.9</v>
      </c>
      <c r="AX27">
        <f>E5</f>
        <v>0.9</v>
      </c>
      <c r="AY27">
        <f>F5</f>
        <v>0.9</v>
      </c>
      <c r="BG27">
        <f>E5</f>
        <v>0.9</v>
      </c>
      <c r="BH27">
        <f>F5</f>
        <v>0.9</v>
      </c>
      <c r="BP27">
        <f>E5</f>
        <v>0.9</v>
      </c>
      <c r="BQ27">
        <f>F5</f>
        <v>0.9</v>
      </c>
      <c r="BY27">
        <f>E5</f>
        <v>0.9</v>
      </c>
      <c r="BZ27">
        <f>F5</f>
        <v>0.9</v>
      </c>
      <c r="CH27">
        <f>E5</f>
        <v>0.9</v>
      </c>
      <c r="CI27">
        <f>F5</f>
        <v>0.9</v>
      </c>
    </row>
    <row r="28" spans="1:89" x14ac:dyDescent="0.25">
      <c r="A28" s="172"/>
      <c r="B28" s="295"/>
      <c r="C28" s="295"/>
      <c r="D28" s="296"/>
      <c r="E28" s="178"/>
      <c r="F28" s="178"/>
      <c r="G28" s="178"/>
      <c r="H28" s="178"/>
      <c r="I28" s="178"/>
      <c r="J28" s="172"/>
      <c r="K28" s="295"/>
      <c r="L28" s="295"/>
      <c r="M28" s="296"/>
      <c r="N28" s="178"/>
      <c r="O28" s="178"/>
      <c r="P28" s="178"/>
      <c r="Q28" s="178"/>
      <c r="R28" s="178"/>
      <c r="S28" s="173"/>
    </row>
    <row r="29" spans="1:89" x14ac:dyDescent="0.25">
      <c r="A29" s="172"/>
      <c r="B29" s="146"/>
      <c r="C29" s="255" t="s">
        <v>1</v>
      </c>
      <c r="D29" s="253"/>
      <c r="E29" s="253"/>
      <c r="F29" s="253"/>
      <c r="G29" s="253"/>
      <c r="H29" s="253"/>
      <c r="I29" s="253"/>
      <c r="J29" s="172"/>
      <c r="K29" s="146"/>
      <c r="L29" s="255" t="s">
        <v>1</v>
      </c>
      <c r="M29" s="253"/>
      <c r="N29" s="253"/>
      <c r="O29" s="253"/>
      <c r="P29" s="253"/>
      <c r="Q29" s="253"/>
      <c r="R29" s="253"/>
      <c r="S29" s="173"/>
      <c r="U29" t="s">
        <v>1</v>
      </c>
      <c r="AD29" t="s">
        <v>1</v>
      </c>
      <c r="AM29" t="s">
        <v>1</v>
      </c>
      <c r="AV29" t="s">
        <v>1</v>
      </c>
      <c r="BE29" t="s">
        <v>1</v>
      </c>
      <c r="BN29" t="s">
        <v>1</v>
      </c>
      <c r="BW29" t="s">
        <v>1</v>
      </c>
      <c r="CF29" t="s">
        <v>1</v>
      </c>
    </row>
    <row r="30" spans="1:89" ht="43.15" customHeight="1" x14ac:dyDescent="0.25">
      <c r="A30" s="172"/>
      <c r="B30" s="146"/>
      <c r="C30" s="146" t="s">
        <v>119</v>
      </c>
      <c r="D30" s="146" t="s">
        <v>120</v>
      </c>
      <c r="E30" s="146" t="s">
        <v>37</v>
      </c>
      <c r="F30" s="146" t="s">
        <v>121</v>
      </c>
      <c r="G30" s="146" t="s">
        <v>122</v>
      </c>
      <c r="H30" s="146" t="s">
        <v>123</v>
      </c>
      <c r="I30" s="146"/>
      <c r="J30" s="172"/>
      <c r="K30" s="146"/>
      <c r="L30" s="146" t="s">
        <v>119</v>
      </c>
      <c r="M30" s="146" t="s">
        <v>120</v>
      </c>
      <c r="N30" s="146" t="s">
        <v>37</v>
      </c>
      <c r="O30" s="146" t="s">
        <v>121</v>
      </c>
      <c r="P30" s="146" t="s">
        <v>122</v>
      </c>
      <c r="Q30" s="146" t="s">
        <v>123</v>
      </c>
      <c r="R30" s="146"/>
      <c r="S30" s="173"/>
      <c r="U30" t="s">
        <v>119</v>
      </c>
      <c r="V30" t="s">
        <v>120</v>
      </c>
      <c r="W30" t="s">
        <v>37</v>
      </c>
      <c r="X30" t="s">
        <v>121</v>
      </c>
      <c r="Y30" t="s">
        <v>122</v>
      </c>
      <c r="Z30" t="s">
        <v>123</v>
      </c>
      <c r="AD30" t="s">
        <v>119</v>
      </c>
      <c r="AE30" t="s">
        <v>120</v>
      </c>
      <c r="AF30" t="s">
        <v>37</v>
      </c>
      <c r="AG30" t="s">
        <v>121</v>
      </c>
      <c r="AH30" t="s">
        <v>122</v>
      </c>
      <c r="AI30" t="s">
        <v>123</v>
      </c>
      <c r="AM30" t="s">
        <v>119</v>
      </c>
      <c r="AN30" t="s">
        <v>120</v>
      </c>
      <c r="AO30" t="s">
        <v>37</v>
      </c>
      <c r="AP30" t="s">
        <v>121</v>
      </c>
      <c r="AQ30" t="s">
        <v>122</v>
      </c>
      <c r="AR30" t="s">
        <v>123</v>
      </c>
      <c r="AV30" t="s">
        <v>119</v>
      </c>
      <c r="AW30" t="s">
        <v>120</v>
      </c>
      <c r="AX30" t="s">
        <v>37</v>
      </c>
      <c r="AY30" t="s">
        <v>121</v>
      </c>
      <c r="AZ30" t="s">
        <v>122</v>
      </c>
      <c r="BA30" t="s">
        <v>123</v>
      </c>
      <c r="BE30" t="s">
        <v>119</v>
      </c>
      <c r="BF30" t="s">
        <v>120</v>
      </c>
      <c r="BG30" t="s">
        <v>37</v>
      </c>
      <c r="BH30" t="s">
        <v>121</v>
      </c>
      <c r="BI30" t="s">
        <v>122</v>
      </c>
      <c r="BJ30" t="s">
        <v>123</v>
      </c>
      <c r="BN30" t="s">
        <v>119</v>
      </c>
      <c r="BO30" t="s">
        <v>120</v>
      </c>
      <c r="BP30" t="s">
        <v>37</v>
      </c>
      <c r="BQ30" t="s">
        <v>121</v>
      </c>
      <c r="BR30" t="s">
        <v>122</v>
      </c>
      <c r="BS30" t="s">
        <v>123</v>
      </c>
      <c r="BW30" t="s">
        <v>119</v>
      </c>
      <c r="BX30" t="s">
        <v>120</v>
      </c>
      <c r="BY30" t="s">
        <v>37</v>
      </c>
      <c r="BZ30" t="s">
        <v>121</v>
      </c>
      <c r="CA30" t="s">
        <v>122</v>
      </c>
      <c r="CB30" t="s">
        <v>123</v>
      </c>
      <c r="CF30" t="s">
        <v>119</v>
      </c>
      <c r="CG30" t="s">
        <v>120</v>
      </c>
      <c r="CH30" t="s">
        <v>37</v>
      </c>
      <c r="CI30" t="s">
        <v>121</v>
      </c>
      <c r="CJ30" t="s">
        <v>122</v>
      </c>
      <c r="CK30" t="s">
        <v>123</v>
      </c>
    </row>
    <row r="31" spans="1:89" x14ac:dyDescent="0.25">
      <c r="A31" s="172"/>
      <c r="B31" s="146"/>
      <c r="C31" s="179" t="str">
        <f>C9</f>
        <v>NA</v>
      </c>
      <c r="D31" s="180">
        <f>D9</f>
        <v>0.8</v>
      </c>
      <c r="E31" s="175"/>
      <c r="F31" s="175"/>
      <c r="G31" s="175"/>
      <c r="H31" s="175"/>
      <c r="I31" s="146"/>
      <c r="J31" s="172"/>
      <c r="K31" s="146"/>
      <c r="L31" s="179" t="str">
        <f>C9</f>
        <v>NA</v>
      </c>
      <c r="M31" s="180">
        <f>D9</f>
        <v>0.8</v>
      </c>
      <c r="N31" s="175"/>
      <c r="O31" s="175"/>
      <c r="P31" s="175"/>
      <c r="Q31" s="175"/>
      <c r="R31" s="146"/>
      <c r="S31" s="173"/>
      <c r="U31" t="str">
        <f>C9</f>
        <v>NA</v>
      </c>
      <c r="V31">
        <f>D9</f>
        <v>0.8</v>
      </c>
      <c r="AD31" t="str">
        <f>C9</f>
        <v>NA</v>
      </c>
      <c r="AE31">
        <f>D9</f>
        <v>0.8</v>
      </c>
      <c r="AM31" t="str">
        <f>C9</f>
        <v>NA</v>
      </c>
      <c r="AN31">
        <f>D9</f>
        <v>0.8</v>
      </c>
      <c r="AV31" t="str">
        <f>C9</f>
        <v>NA</v>
      </c>
      <c r="AW31">
        <f>D9</f>
        <v>0.8</v>
      </c>
      <c r="BE31" t="str">
        <f>C9</f>
        <v>NA</v>
      </c>
      <c r="BF31">
        <f>D9</f>
        <v>0.8</v>
      </c>
      <c r="BN31" t="str">
        <f>C9</f>
        <v>NA</v>
      </c>
      <c r="BO31">
        <f>D9</f>
        <v>0.8</v>
      </c>
      <c r="BW31" t="str">
        <f>C9</f>
        <v>NA</v>
      </c>
      <c r="BX31">
        <f>D9</f>
        <v>0.8</v>
      </c>
      <c r="CF31" t="str">
        <f>C9</f>
        <v>NA</v>
      </c>
      <c r="CG31">
        <f>D9</f>
        <v>0.8</v>
      </c>
    </row>
    <row r="32" spans="1:89" x14ac:dyDescent="0.25">
      <c r="A32" s="172"/>
      <c r="B32" s="146"/>
      <c r="C32" s="146"/>
      <c r="D32" s="146"/>
      <c r="E32" s="146"/>
      <c r="F32" s="146"/>
      <c r="G32" s="146"/>
      <c r="H32" s="146"/>
      <c r="I32" s="146"/>
      <c r="J32" s="172"/>
      <c r="K32" s="146"/>
      <c r="L32" s="146"/>
      <c r="M32" s="146"/>
      <c r="N32" s="146"/>
      <c r="O32" s="146"/>
      <c r="P32" s="146"/>
      <c r="Q32" s="146"/>
      <c r="R32" s="146"/>
      <c r="S32" s="173"/>
    </row>
    <row r="33" spans="1:89" ht="28.9" customHeight="1" x14ac:dyDescent="0.25">
      <c r="A33" s="172"/>
      <c r="B33" s="181"/>
      <c r="C33" s="181"/>
      <c r="D33" s="182" t="s">
        <v>125</v>
      </c>
      <c r="E33" s="182"/>
      <c r="F33" s="181"/>
      <c r="G33" s="290" t="s">
        <v>126</v>
      </c>
      <c r="H33" s="253"/>
      <c r="I33" s="56"/>
      <c r="J33" s="172"/>
      <c r="K33" s="181"/>
      <c r="L33" s="181"/>
      <c r="M33" s="182" t="s">
        <v>125</v>
      </c>
      <c r="N33" s="182"/>
      <c r="O33" s="181"/>
      <c r="P33" s="290" t="s">
        <v>126</v>
      </c>
      <c r="Q33" s="253"/>
      <c r="R33" s="56"/>
      <c r="S33" s="173"/>
      <c r="V33" t="s">
        <v>125</v>
      </c>
      <c r="Y33" t="s">
        <v>126</v>
      </c>
      <c r="AE33" t="s">
        <v>125</v>
      </c>
      <c r="AH33" t="s">
        <v>126</v>
      </c>
      <c r="AN33" t="s">
        <v>125</v>
      </c>
      <c r="AQ33" t="s">
        <v>126</v>
      </c>
      <c r="AW33" t="s">
        <v>125</v>
      </c>
      <c r="AZ33" t="s">
        <v>126</v>
      </c>
      <c r="BF33" t="s">
        <v>125</v>
      </c>
      <c r="BI33" t="s">
        <v>126</v>
      </c>
      <c r="BO33" t="s">
        <v>125</v>
      </c>
      <c r="BR33" t="s">
        <v>126</v>
      </c>
      <c r="BX33" t="s">
        <v>125</v>
      </c>
      <c r="CA33" t="s">
        <v>126</v>
      </c>
      <c r="CG33" t="s">
        <v>125</v>
      </c>
      <c r="CJ33" t="s">
        <v>126</v>
      </c>
    </row>
    <row r="34" spans="1:89" ht="57.6" customHeight="1" x14ac:dyDescent="0.25">
      <c r="A34" s="172"/>
      <c r="B34" s="181"/>
      <c r="C34" s="181" t="s">
        <v>127</v>
      </c>
      <c r="D34" s="181" t="s">
        <v>24</v>
      </c>
      <c r="E34" s="181" t="s">
        <v>25</v>
      </c>
      <c r="F34" s="181"/>
      <c r="G34" s="183" t="s">
        <v>26</v>
      </c>
      <c r="H34" s="183" t="s">
        <v>128</v>
      </c>
      <c r="I34" s="56"/>
      <c r="J34" s="172"/>
      <c r="K34" s="181"/>
      <c r="L34" s="181" t="s">
        <v>127</v>
      </c>
      <c r="M34" s="181" t="s">
        <v>24</v>
      </c>
      <c r="N34" s="181" t="s">
        <v>25</v>
      </c>
      <c r="O34" s="181"/>
      <c r="P34" s="183" t="s">
        <v>26</v>
      </c>
      <c r="Q34" s="183" t="s">
        <v>128</v>
      </c>
      <c r="R34" s="56"/>
      <c r="S34" s="173"/>
      <c r="U34" t="s">
        <v>127</v>
      </c>
      <c r="V34" t="s">
        <v>24</v>
      </c>
      <c r="W34" t="s">
        <v>25</v>
      </c>
      <c r="Y34" t="s">
        <v>26</v>
      </c>
      <c r="Z34" t="s">
        <v>128</v>
      </c>
      <c r="AD34" t="s">
        <v>127</v>
      </c>
      <c r="AE34" t="s">
        <v>24</v>
      </c>
      <c r="AF34" t="s">
        <v>25</v>
      </c>
      <c r="AH34" t="s">
        <v>26</v>
      </c>
      <c r="AI34" t="s">
        <v>128</v>
      </c>
      <c r="AM34" t="s">
        <v>127</v>
      </c>
      <c r="AN34" t="s">
        <v>24</v>
      </c>
      <c r="AO34" t="s">
        <v>25</v>
      </c>
      <c r="AQ34" t="s">
        <v>26</v>
      </c>
      <c r="AR34" t="s">
        <v>128</v>
      </c>
      <c r="AV34" t="s">
        <v>127</v>
      </c>
      <c r="AW34" t="s">
        <v>24</v>
      </c>
      <c r="AX34" t="s">
        <v>25</v>
      </c>
      <c r="AZ34" t="s">
        <v>26</v>
      </c>
      <c r="BA34" t="s">
        <v>128</v>
      </c>
      <c r="BE34" t="s">
        <v>127</v>
      </c>
      <c r="BF34" t="s">
        <v>24</v>
      </c>
      <c r="BG34" t="s">
        <v>25</v>
      </c>
      <c r="BI34" t="s">
        <v>26</v>
      </c>
      <c r="BJ34" t="s">
        <v>128</v>
      </c>
      <c r="BN34" t="s">
        <v>127</v>
      </c>
      <c r="BO34" t="s">
        <v>24</v>
      </c>
      <c r="BP34" t="s">
        <v>25</v>
      </c>
      <c r="BR34" t="s">
        <v>26</v>
      </c>
      <c r="BS34" t="s">
        <v>128</v>
      </c>
      <c r="BW34" t="s">
        <v>127</v>
      </c>
      <c r="BX34" t="s">
        <v>24</v>
      </c>
      <c r="BY34" t="s">
        <v>25</v>
      </c>
      <c r="CA34" t="s">
        <v>26</v>
      </c>
      <c r="CB34" t="s">
        <v>128</v>
      </c>
      <c r="CF34" t="s">
        <v>127</v>
      </c>
      <c r="CG34" t="s">
        <v>24</v>
      </c>
      <c r="CH34" t="s">
        <v>25</v>
      </c>
      <c r="CJ34" t="s">
        <v>26</v>
      </c>
      <c r="CK34" t="s">
        <v>128</v>
      </c>
    </row>
    <row r="35" spans="1:89" x14ac:dyDescent="0.25">
      <c r="A35" s="172"/>
      <c r="B35" s="181"/>
      <c r="C35" s="185">
        <f>C13</f>
        <v>1</v>
      </c>
      <c r="D35" s="175"/>
      <c r="E35" s="175"/>
      <c r="F35" s="181"/>
      <c r="G35" s="175"/>
      <c r="H35" s="175"/>
      <c r="I35" s="56"/>
      <c r="J35" s="172"/>
      <c r="K35" s="181"/>
      <c r="L35" s="185">
        <f>C13</f>
        <v>1</v>
      </c>
      <c r="M35" s="175"/>
      <c r="N35" s="175"/>
      <c r="O35" s="181"/>
      <c r="P35" s="175"/>
      <c r="Q35" s="175"/>
      <c r="R35" s="56"/>
      <c r="S35" s="173"/>
      <c r="U35">
        <f>C13</f>
        <v>1</v>
      </c>
      <c r="AD35">
        <f>C13</f>
        <v>1</v>
      </c>
      <c r="AM35">
        <f>C13</f>
        <v>1</v>
      </c>
      <c r="AV35">
        <f>C13</f>
        <v>1</v>
      </c>
      <c r="BE35">
        <f>C13</f>
        <v>1</v>
      </c>
      <c r="BN35">
        <f>C13</f>
        <v>1</v>
      </c>
      <c r="BW35">
        <f>C13</f>
        <v>1</v>
      </c>
      <c r="CF35">
        <f>C13</f>
        <v>1</v>
      </c>
    </row>
    <row r="36" spans="1:89" x14ac:dyDescent="0.25">
      <c r="A36" s="172"/>
      <c r="B36" s="181"/>
      <c r="C36" s="181"/>
      <c r="D36" s="181"/>
      <c r="E36" s="181"/>
      <c r="F36" s="181"/>
      <c r="G36" s="183"/>
      <c r="H36" s="183"/>
      <c r="I36" s="56"/>
      <c r="J36" s="172"/>
      <c r="K36" s="181"/>
      <c r="L36" s="181"/>
      <c r="M36" s="181"/>
      <c r="N36" s="181"/>
      <c r="O36" s="181"/>
      <c r="P36" s="183"/>
      <c r="Q36" s="183"/>
      <c r="R36" s="56"/>
      <c r="S36" s="173"/>
    </row>
    <row r="37" spans="1:89" x14ac:dyDescent="0.25">
      <c r="A37" s="172"/>
      <c r="B37" s="148"/>
      <c r="C37" s="289" t="s">
        <v>129</v>
      </c>
      <c r="D37" s="253"/>
      <c r="E37" s="253"/>
      <c r="F37" s="148"/>
      <c r="G37" s="186"/>
      <c r="H37" s="186"/>
      <c r="I37" s="186"/>
      <c r="J37" s="172"/>
      <c r="K37" s="148"/>
      <c r="L37" s="289" t="s">
        <v>129</v>
      </c>
      <c r="M37" s="253"/>
      <c r="N37" s="253"/>
      <c r="O37" s="148"/>
      <c r="P37" s="186"/>
      <c r="Q37" s="186"/>
      <c r="R37" s="186"/>
      <c r="S37" s="173"/>
      <c r="U37" t="s">
        <v>129</v>
      </c>
      <c r="AD37" t="s">
        <v>129</v>
      </c>
      <c r="AM37" t="s">
        <v>129</v>
      </c>
      <c r="AV37" t="s">
        <v>129</v>
      </c>
      <c r="BE37" t="s">
        <v>129</v>
      </c>
      <c r="BN37" t="s">
        <v>129</v>
      </c>
      <c r="BW37" t="s">
        <v>129</v>
      </c>
      <c r="CF37" t="s">
        <v>129</v>
      </c>
    </row>
    <row r="38" spans="1:89" ht="57.6" customHeight="1" x14ac:dyDescent="0.25">
      <c r="A38" s="172"/>
      <c r="B38" s="148"/>
      <c r="C38" s="148" t="s">
        <v>130</v>
      </c>
      <c r="D38" s="148" t="s">
        <v>131</v>
      </c>
      <c r="E38" s="148" t="s">
        <v>132</v>
      </c>
      <c r="F38" s="148"/>
      <c r="G38" s="186"/>
      <c r="H38" s="186"/>
      <c r="I38" s="186"/>
      <c r="J38" s="172"/>
      <c r="K38" s="148"/>
      <c r="L38" s="148" t="s">
        <v>130</v>
      </c>
      <c r="M38" s="148" t="s">
        <v>131</v>
      </c>
      <c r="N38" s="148" t="s">
        <v>132</v>
      </c>
      <c r="O38" s="148"/>
      <c r="P38" s="186"/>
      <c r="Q38" s="186"/>
      <c r="R38" s="186"/>
      <c r="S38" s="173"/>
      <c r="U38" t="s">
        <v>130</v>
      </c>
      <c r="V38" t="s">
        <v>131</v>
      </c>
      <c r="W38" t="s">
        <v>132</v>
      </c>
      <c r="AD38" t="s">
        <v>130</v>
      </c>
      <c r="AE38" t="s">
        <v>131</v>
      </c>
      <c r="AF38" t="s">
        <v>132</v>
      </c>
      <c r="AM38" t="s">
        <v>130</v>
      </c>
      <c r="AN38" t="s">
        <v>131</v>
      </c>
      <c r="AO38" t="s">
        <v>132</v>
      </c>
      <c r="AV38" t="s">
        <v>130</v>
      </c>
      <c r="AW38" t="s">
        <v>131</v>
      </c>
      <c r="AX38" t="s">
        <v>132</v>
      </c>
      <c r="BE38" t="s">
        <v>130</v>
      </c>
      <c r="BF38" t="s">
        <v>131</v>
      </c>
      <c r="BG38" t="s">
        <v>132</v>
      </c>
      <c r="BN38" t="s">
        <v>130</v>
      </c>
      <c r="BO38" t="s">
        <v>131</v>
      </c>
      <c r="BP38" t="s">
        <v>132</v>
      </c>
      <c r="BW38" t="s">
        <v>130</v>
      </c>
      <c r="BX38" t="s">
        <v>131</v>
      </c>
      <c r="BY38" t="s">
        <v>132</v>
      </c>
      <c r="CF38" t="s">
        <v>130</v>
      </c>
      <c r="CG38" t="s">
        <v>131</v>
      </c>
      <c r="CH38" t="s">
        <v>132</v>
      </c>
    </row>
    <row r="39" spans="1:89" x14ac:dyDescent="0.25">
      <c r="A39" s="172"/>
      <c r="B39" s="148"/>
      <c r="C39" s="187">
        <f>C17</f>
        <v>3.5</v>
      </c>
      <c r="D39" s="187">
        <f>D17</f>
        <v>3.5</v>
      </c>
      <c r="E39" s="187">
        <f>E17</f>
        <v>3.5</v>
      </c>
      <c r="F39" s="148"/>
      <c r="G39" s="186"/>
      <c r="H39" s="186"/>
      <c r="I39" s="186"/>
      <c r="J39" s="172"/>
      <c r="K39" s="148"/>
      <c r="L39" s="187">
        <f>C17</f>
        <v>3.5</v>
      </c>
      <c r="M39" s="187">
        <f>D17</f>
        <v>3.5</v>
      </c>
      <c r="N39" s="187">
        <f>E17</f>
        <v>3.5</v>
      </c>
      <c r="O39" s="148"/>
      <c r="P39" s="186"/>
      <c r="Q39" s="186"/>
      <c r="R39" s="186"/>
      <c r="S39" s="173"/>
      <c r="U39">
        <f>C17</f>
        <v>3.5</v>
      </c>
      <c r="V39">
        <f>D17</f>
        <v>3.5</v>
      </c>
      <c r="W39">
        <f>E17</f>
        <v>3.5</v>
      </c>
      <c r="AD39">
        <f>C17</f>
        <v>3.5</v>
      </c>
      <c r="AE39">
        <f>D17</f>
        <v>3.5</v>
      </c>
      <c r="AF39">
        <f>E17</f>
        <v>3.5</v>
      </c>
      <c r="AM39">
        <f>C17</f>
        <v>3.5</v>
      </c>
      <c r="AN39">
        <f>D17</f>
        <v>3.5</v>
      </c>
      <c r="AO39">
        <f>E17</f>
        <v>3.5</v>
      </c>
      <c r="AV39">
        <f>C17</f>
        <v>3.5</v>
      </c>
      <c r="AW39">
        <f>D17</f>
        <v>3.5</v>
      </c>
      <c r="AX39">
        <f>E17</f>
        <v>3.5</v>
      </c>
      <c r="BE39">
        <f>C17</f>
        <v>3.5</v>
      </c>
      <c r="BF39">
        <f>D17</f>
        <v>3.5</v>
      </c>
      <c r="BG39">
        <f>E17</f>
        <v>3.5</v>
      </c>
      <c r="BN39">
        <f>C17</f>
        <v>3.5</v>
      </c>
      <c r="BO39">
        <f>D17</f>
        <v>3.5</v>
      </c>
      <c r="BP39">
        <f>E17</f>
        <v>3.5</v>
      </c>
      <c r="BW39">
        <f>C17</f>
        <v>3.5</v>
      </c>
      <c r="BX39">
        <f>D17</f>
        <v>3.5</v>
      </c>
      <c r="BY39">
        <f>E17</f>
        <v>3.5</v>
      </c>
      <c r="CF39">
        <f>C17</f>
        <v>3.5</v>
      </c>
      <c r="CG39">
        <f>D17</f>
        <v>3.5</v>
      </c>
      <c r="CH39">
        <f>E17</f>
        <v>3.5</v>
      </c>
    </row>
    <row r="40" spans="1:89" x14ac:dyDescent="0.25">
      <c r="A40" s="172"/>
      <c r="B40" s="148"/>
      <c r="C40" s="148"/>
      <c r="D40" s="148"/>
      <c r="E40" s="148"/>
      <c r="F40" s="148"/>
      <c r="G40" s="186"/>
      <c r="H40" s="186"/>
      <c r="I40" s="186"/>
      <c r="J40" s="172"/>
      <c r="K40" s="148"/>
      <c r="L40" s="148"/>
      <c r="M40" s="148"/>
      <c r="N40" s="148"/>
      <c r="O40" s="148"/>
      <c r="P40" s="186"/>
      <c r="Q40" s="186"/>
      <c r="R40" s="186"/>
      <c r="S40" s="173"/>
    </row>
    <row r="41" spans="1:89" x14ac:dyDescent="0.25">
      <c r="A41" s="172"/>
      <c r="B41" s="173"/>
      <c r="C41" s="173"/>
      <c r="D41" s="173"/>
      <c r="E41" s="173"/>
      <c r="F41" s="173"/>
      <c r="G41" s="173"/>
      <c r="H41" s="173"/>
      <c r="I41" s="173"/>
      <c r="J41" s="172"/>
      <c r="K41" s="173"/>
      <c r="L41" s="173"/>
      <c r="M41" s="173"/>
      <c r="N41" s="173"/>
      <c r="O41" s="173"/>
      <c r="P41" s="173"/>
      <c r="Q41" s="173"/>
      <c r="R41" s="173"/>
      <c r="S41" s="173"/>
    </row>
    <row r="42" spans="1:89" x14ac:dyDescent="0.25">
      <c r="A42" s="172"/>
      <c r="B42" s="297" t="s">
        <v>9</v>
      </c>
      <c r="C42" s="253"/>
      <c r="D42" s="253"/>
      <c r="E42" s="253"/>
      <c r="F42" s="253"/>
      <c r="G42" s="253"/>
      <c r="H42" s="253"/>
      <c r="I42" s="253"/>
      <c r="J42" s="172"/>
      <c r="K42" s="297" t="s">
        <v>46</v>
      </c>
      <c r="L42" s="253"/>
      <c r="M42" s="253"/>
      <c r="N42" s="253"/>
      <c r="O42" s="253"/>
      <c r="P42" s="253"/>
      <c r="Q42" s="253"/>
      <c r="R42" s="253"/>
      <c r="S42" s="173"/>
      <c r="T42" t="s">
        <v>46</v>
      </c>
      <c r="AC42" t="s">
        <v>46</v>
      </c>
      <c r="AL42" t="s">
        <v>46</v>
      </c>
      <c r="AU42" t="s">
        <v>46</v>
      </c>
      <c r="BD42" t="s">
        <v>46</v>
      </c>
      <c r="BM42" t="s">
        <v>46</v>
      </c>
      <c r="BV42" t="s">
        <v>46</v>
      </c>
      <c r="CE42" t="s">
        <v>46</v>
      </c>
    </row>
    <row r="43" spans="1:89" x14ac:dyDescent="0.25">
      <c r="A43" s="172"/>
      <c r="B43" s="298" t="s">
        <v>114</v>
      </c>
      <c r="C43" s="253"/>
      <c r="D43" s="253"/>
      <c r="E43" s="256" t="s">
        <v>0</v>
      </c>
      <c r="F43" s="253"/>
      <c r="G43" s="253"/>
      <c r="H43" s="253"/>
      <c r="I43" s="253"/>
      <c r="J43" s="172"/>
      <c r="K43" s="298" t="s">
        <v>114</v>
      </c>
      <c r="L43" s="253"/>
      <c r="M43" s="253"/>
      <c r="N43" s="188" t="s">
        <v>0</v>
      </c>
      <c r="O43" s="188"/>
      <c r="P43" s="188"/>
      <c r="Q43" s="186"/>
      <c r="R43" s="186"/>
      <c r="S43" s="173"/>
      <c r="T43" t="s">
        <v>114</v>
      </c>
      <c r="W43" t="s">
        <v>0</v>
      </c>
      <c r="AC43" t="s">
        <v>114</v>
      </c>
      <c r="AF43" t="s">
        <v>0</v>
      </c>
      <c r="AL43" t="s">
        <v>114</v>
      </c>
      <c r="AO43" t="s">
        <v>0</v>
      </c>
      <c r="AU43" t="s">
        <v>114</v>
      </c>
      <c r="AX43" t="s">
        <v>0</v>
      </c>
      <c r="BD43" t="s">
        <v>114</v>
      </c>
      <c r="BG43" t="s">
        <v>0</v>
      </c>
      <c r="BM43" t="s">
        <v>114</v>
      </c>
      <c r="BP43" t="s">
        <v>0</v>
      </c>
      <c r="BV43" t="s">
        <v>114</v>
      </c>
      <c r="BY43" t="s">
        <v>0</v>
      </c>
      <c r="CE43" t="s">
        <v>114</v>
      </c>
      <c r="CH43" t="s">
        <v>0</v>
      </c>
    </row>
    <row r="44" spans="1:89" ht="55.15" customHeight="1" x14ac:dyDescent="0.25">
      <c r="A44" s="172"/>
      <c r="B44" s="291">
        <f>B4</f>
        <v>2025</v>
      </c>
      <c r="C44" s="292"/>
      <c r="D44" s="293"/>
      <c r="E44" s="51" t="s">
        <v>115</v>
      </c>
      <c r="F44" s="51" t="s">
        <v>116</v>
      </c>
      <c r="G44" s="60" t="s">
        <v>117</v>
      </c>
      <c r="H44" s="60" t="s">
        <v>118</v>
      </c>
      <c r="I44" s="51"/>
      <c r="J44" s="172"/>
      <c r="K44" s="299">
        <v>2026</v>
      </c>
      <c r="L44" s="253"/>
      <c r="M44" s="253"/>
      <c r="N44" s="60" t="s">
        <v>117</v>
      </c>
      <c r="O44" s="60" t="s">
        <v>118</v>
      </c>
      <c r="P44" s="51"/>
      <c r="Q44" s="186"/>
      <c r="R44" s="186"/>
      <c r="S44" s="173"/>
      <c r="T44">
        <v>2026</v>
      </c>
      <c r="W44" t="s">
        <v>117</v>
      </c>
      <c r="X44" t="s">
        <v>118</v>
      </c>
      <c r="AC44">
        <v>2026</v>
      </c>
      <c r="AF44" t="s">
        <v>117</v>
      </c>
      <c r="AG44" t="s">
        <v>118</v>
      </c>
      <c r="AL44">
        <v>2026</v>
      </c>
      <c r="AO44" t="s">
        <v>117</v>
      </c>
      <c r="AP44" t="s">
        <v>118</v>
      </c>
      <c r="AU44">
        <v>2026</v>
      </c>
      <c r="AX44" t="s">
        <v>117</v>
      </c>
      <c r="AY44" t="s">
        <v>118</v>
      </c>
      <c r="BD44">
        <v>2026</v>
      </c>
      <c r="BG44" t="s">
        <v>117</v>
      </c>
      <c r="BH44" t="s">
        <v>118</v>
      </c>
      <c r="BM44">
        <v>2026</v>
      </c>
      <c r="BP44" t="s">
        <v>117</v>
      </c>
      <c r="BQ44" t="s">
        <v>118</v>
      </c>
      <c r="BV44">
        <v>2026</v>
      </c>
      <c r="BY44" t="s">
        <v>117</v>
      </c>
      <c r="BZ44" t="s">
        <v>118</v>
      </c>
      <c r="CE44">
        <v>2026</v>
      </c>
      <c r="CH44" t="s">
        <v>117</v>
      </c>
      <c r="CI44" t="s">
        <v>118</v>
      </c>
    </row>
    <row r="45" spans="1:89" x14ac:dyDescent="0.25">
      <c r="A45" s="172"/>
      <c r="B45" s="253"/>
      <c r="C45" s="253"/>
      <c r="D45" s="294"/>
      <c r="E45" s="176">
        <f>E5</f>
        <v>0.9</v>
      </c>
      <c r="F45" s="176">
        <f>F5</f>
        <v>0.9</v>
      </c>
      <c r="G45" s="177"/>
      <c r="H45" s="177"/>
      <c r="I45" s="51"/>
      <c r="J45" s="172"/>
      <c r="K45" s="253"/>
      <c r="L45" s="253"/>
      <c r="M45" s="253"/>
      <c r="N45" s="175"/>
      <c r="O45" s="175"/>
      <c r="P45" s="51"/>
      <c r="Q45" s="186"/>
      <c r="R45" s="186"/>
      <c r="S45" s="173"/>
    </row>
    <row r="46" spans="1:89" x14ac:dyDescent="0.25">
      <c r="A46" s="172"/>
      <c r="B46" s="295"/>
      <c r="C46" s="295"/>
      <c r="D46" s="296"/>
      <c r="E46" s="178"/>
      <c r="F46" s="178"/>
      <c r="G46" s="178"/>
      <c r="H46" s="178"/>
      <c r="I46" s="178"/>
      <c r="J46" s="172"/>
      <c r="K46" s="253"/>
      <c r="L46" s="253"/>
      <c r="M46" s="253"/>
      <c r="N46" s="178"/>
      <c r="O46" s="178"/>
      <c r="P46" s="178"/>
      <c r="Q46" s="186"/>
      <c r="R46" s="186"/>
      <c r="S46" s="173"/>
    </row>
    <row r="47" spans="1:89" x14ac:dyDescent="0.25">
      <c r="A47" s="172"/>
      <c r="B47" s="146"/>
      <c r="C47" s="255" t="s">
        <v>1</v>
      </c>
      <c r="D47" s="253"/>
      <c r="E47" s="253"/>
      <c r="F47" s="253"/>
      <c r="G47" s="253"/>
      <c r="H47" s="253"/>
      <c r="I47" s="253"/>
      <c r="J47" s="172"/>
      <c r="K47" s="146"/>
      <c r="L47" s="189" t="s">
        <v>1</v>
      </c>
      <c r="M47" s="189"/>
      <c r="N47" s="189"/>
      <c r="O47" s="189"/>
      <c r="P47" s="186"/>
      <c r="Q47" s="186"/>
      <c r="R47" s="186"/>
      <c r="S47" s="173"/>
      <c r="U47" t="s">
        <v>1</v>
      </c>
      <c r="AD47" t="s">
        <v>1</v>
      </c>
      <c r="AM47" t="s">
        <v>1</v>
      </c>
      <c r="AV47" t="s">
        <v>1</v>
      </c>
      <c r="BE47" t="s">
        <v>1</v>
      </c>
      <c r="BN47" t="s">
        <v>1</v>
      </c>
      <c r="BW47" t="s">
        <v>1</v>
      </c>
      <c r="CF47" t="s">
        <v>1</v>
      </c>
    </row>
    <row r="48" spans="1:89" ht="43.15" customHeight="1" x14ac:dyDescent="0.25">
      <c r="A48" s="172"/>
      <c r="B48" s="146"/>
      <c r="C48" s="146" t="s">
        <v>119</v>
      </c>
      <c r="D48" s="146" t="s">
        <v>120</v>
      </c>
      <c r="E48" s="146" t="s">
        <v>37</v>
      </c>
      <c r="F48" s="146" t="s">
        <v>121</v>
      </c>
      <c r="G48" s="146" t="s">
        <v>122</v>
      </c>
      <c r="H48" s="146" t="s">
        <v>123</v>
      </c>
      <c r="I48" s="146"/>
      <c r="J48" s="172"/>
      <c r="K48" s="146"/>
      <c r="L48" s="146" t="s">
        <v>119</v>
      </c>
      <c r="M48" s="146" t="s">
        <v>120</v>
      </c>
      <c r="N48" s="146" t="s">
        <v>37</v>
      </c>
      <c r="O48" s="146"/>
      <c r="P48" s="186"/>
      <c r="Q48" s="186"/>
      <c r="R48" s="186"/>
      <c r="S48" s="173"/>
      <c r="U48" t="s">
        <v>119</v>
      </c>
      <c r="V48" t="s">
        <v>120</v>
      </c>
      <c r="W48" t="s">
        <v>37</v>
      </c>
      <c r="AD48" t="s">
        <v>119</v>
      </c>
      <c r="AE48" t="s">
        <v>120</v>
      </c>
      <c r="AF48" t="s">
        <v>37</v>
      </c>
      <c r="AM48" t="s">
        <v>119</v>
      </c>
      <c r="AN48" t="s">
        <v>120</v>
      </c>
      <c r="AO48" t="s">
        <v>37</v>
      </c>
      <c r="AV48" t="s">
        <v>119</v>
      </c>
      <c r="AW48" t="s">
        <v>120</v>
      </c>
      <c r="AX48" t="s">
        <v>37</v>
      </c>
      <c r="BE48" t="s">
        <v>119</v>
      </c>
      <c r="BF48" t="s">
        <v>120</v>
      </c>
      <c r="BG48" t="s">
        <v>37</v>
      </c>
      <c r="BN48" t="s">
        <v>119</v>
      </c>
      <c r="BO48" t="s">
        <v>120</v>
      </c>
      <c r="BP48" t="s">
        <v>37</v>
      </c>
      <c r="BW48" t="s">
        <v>119</v>
      </c>
      <c r="BX48" t="s">
        <v>120</v>
      </c>
      <c r="BY48" t="s">
        <v>37</v>
      </c>
      <c r="CF48" t="s">
        <v>119</v>
      </c>
      <c r="CG48" t="s">
        <v>120</v>
      </c>
      <c r="CH48" t="s">
        <v>37</v>
      </c>
    </row>
    <row r="49" spans="1:89" x14ac:dyDescent="0.25">
      <c r="A49" s="172"/>
      <c r="B49" s="146"/>
      <c r="C49" s="179" t="str">
        <f>C9</f>
        <v>NA</v>
      </c>
      <c r="D49" s="180">
        <f>D9</f>
        <v>0.8</v>
      </c>
      <c r="E49" s="175"/>
      <c r="F49" s="175"/>
      <c r="G49" s="175"/>
      <c r="H49" s="175"/>
      <c r="I49" s="146"/>
      <c r="J49" s="172"/>
      <c r="K49" s="146"/>
      <c r="L49" s="179" t="str">
        <f>C9</f>
        <v>NA</v>
      </c>
      <c r="M49" s="180">
        <f>D9</f>
        <v>0.8</v>
      </c>
      <c r="N49" s="175">
        <v>0</v>
      </c>
      <c r="O49" s="146"/>
      <c r="P49" s="186"/>
      <c r="Q49" s="186"/>
      <c r="R49" s="186"/>
      <c r="S49" s="173"/>
      <c r="U49" t="str">
        <f>C9</f>
        <v>NA</v>
      </c>
      <c r="V49">
        <f>D9</f>
        <v>0.8</v>
      </c>
      <c r="W49">
        <v>0</v>
      </c>
      <c r="AD49" t="str">
        <f>C9</f>
        <v>NA</v>
      </c>
      <c r="AE49">
        <f>D9</f>
        <v>0.8</v>
      </c>
      <c r="AF49">
        <v>0</v>
      </c>
      <c r="AM49" t="str">
        <f>C9</f>
        <v>NA</v>
      </c>
      <c r="AN49">
        <f>D9</f>
        <v>0.8</v>
      </c>
      <c r="AO49">
        <v>0</v>
      </c>
      <c r="AV49" t="str">
        <f>C9</f>
        <v>NA</v>
      </c>
      <c r="AW49">
        <f>D9</f>
        <v>0.8</v>
      </c>
      <c r="AX49">
        <v>0</v>
      </c>
      <c r="BE49" t="str">
        <f>C9</f>
        <v>NA</v>
      </c>
      <c r="BF49">
        <f>D9</f>
        <v>0.8</v>
      </c>
      <c r="BG49">
        <v>0</v>
      </c>
      <c r="BN49" t="str">
        <f>C9</f>
        <v>NA</v>
      </c>
      <c r="BO49">
        <f>D9</f>
        <v>0.8</v>
      </c>
      <c r="BP49">
        <v>0</v>
      </c>
      <c r="BW49" t="str">
        <f>C9</f>
        <v>NA</v>
      </c>
      <c r="BX49">
        <f>D9</f>
        <v>0.8</v>
      </c>
      <c r="BY49">
        <v>0</v>
      </c>
      <c r="CF49" t="str">
        <f>C9</f>
        <v>NA</v>
      </c>
      <c r="CG49">
        <f>D9</f>
        <v>0.8</v>
      </c>
      <c r="CH49">
        <v>0</v>
      </c>
    </row>
    <row r="50" spans="1:89" x14ac:dyDescent="0.25">
      <c r="A50" s="172"/>
      <c r="B50" s="146"/>
      <c r="C50" s="146"/>
      <c r="D50" s="146"/>
      <c r="E50" s="146"/>
      <c r="F50" s="146"/>
      <c r="G50" s="146"/>
      <c r="H50" s="146"/>
      <c r="I50" s="146"/>
      <c r="J50" s="172"/>
      <c r="K50" s="146"/>
      <c r="L50" s="146"/>
      <c r="M50" s="146"/>
      <c r="N50" s="146"/>
      <c r="O50" s="146"/>
      <c r="P50" s="186"/>
      <c r="Q50" s="186"/>
      <c r="R50" s="186"/>
      <c r="S50" s="173"/>
    </row>
    <row r="51" spans="1:89" ht="28.9" customHeight="1" x14ac:dyDescent="0.25">
      <c r="A51" s="172"/>
      <c r="B51" s="181"/>
      <c r="C51" s="181"/>
      <c r="D51" s="182" t="s">
        <v>125</v>
      </c>
      <c r="E51" s="182"/>
      <c r="F51" s="181"/>
      <c r="G51" s="290" t="s">
        <v>126</v>
      </c>
      <c r="H51" s="253"/>
      <c r="I51" s="56"/>
      <c r="J51" s="172"/>
      <c r="K51" s="181"/>
      <c r="L51" s="181"/>
      <c r="M51" s="182" t="s">
        <v>125</v>
      </c>
      <c r="N51" s="182"/>
      <c r="O51" s="181"/>
      <c r="P51" s="290" t="s">
        <v>126</v>
      </c>
      <c r="Q51" s="253"/>
      <c r="R51" s="56"/>
      <c r="S51" s="173"/>
      <c r="V51" t="s">
        <v>125</v>
      </c>
      <c r="Y51" t="s">
        <v>126</v>
      </c>
      <c r="AE51" t="s">
        <v>125</v>
      </c>
      <c r="AH51" t="s">
        <v>126</v>
      </c>
      <c r="AN51" t="s">
        <v>125</v>
      </c>
      <c r="AQ51" t="s">
        <v>126</v>
      </c>
      <c r="AW51" t="s">
        <v>125</v>
      </c>
      <c r="AZ51" t="s">
        <v>126</v>
      </c>
      <c r="BF51" t="s">
        <v>125</v>
      </c>
      <c r="BI51" t="s">
        <v>126</v>
      </c>
      <c r="BO51" t="s">
        <v>125</v>
      </c>
      <c r="BR51" t="s">
        <v>126</v>
      </c>
      <c r="BX51" t="s">
        <v>125</v>
      </c>
      <c r="CA51" t="s">
        <v>126</v>
      </c>
      <c r="CG51" t="s">
        <v>125</v>
      </c>
      <c r="CJ51" t="s">
        <v>126</v>
      </c>
    </row>
    <row r="52" spans="1:89" ht="57.6" customHeight="1" x14ac:dyDescent="0.25">
      <c r="A52" s="172"/>
      <c r="B52" s="181"/>
      <c r="C52" s="181" t="s">
        <v>127</v>
      </c>
      <c r="D52" s="181" t="s">
        <v>24</v>
      </c>
      <c r="E52" s="181" t="s">
        <v>25</v>
      </c>
      <c r="F52" s="181"/>
      <c r="G52" s="183" t="s">
        <v>26</v>
      </c>
      <c r="H52" s="183" t="s">
        <v>128</v>
      </c>
      <c r="I52" s="56"/>
      <c r="J52" s="172"/>
      <c r="K52" s="181"/>
      <c r="L52" s="181" t="s">
        <v>127</v>
      </c>
      <c r="M52" s="181" t="s">
        <v>24</v>
      </c>
      <c r="N52" s="181" t="s">
        <v>25</v>
      </c>
      <c r="O52" s="181"/>
      <c r="P52" s="183" t="s">
        <v>26</v>
      </c>
      <c r="Q52" s="183" t="s">
        <v>128</v>
      </c>
      <c r="R52" s="56"/>
      <c r="S52" s="173"/>
      <c r="U52" t="s">
        <v>127</v>
      </c>
      <c r="V52" t="s">
        <v>24</v>
      </c>
      <c r="W52" t="s">
        <v>25</v>
      </c>
      <c r="Y52" t="s">
        <v>26</v>
      </c>
      <c r="Z52" t="s">
        <v>128</v>
      </c>
      <c r="AD52" t="s">
        <v>127</v>
      </c>
      <c r="AE52" t="s">
        <v>24</v>
      </c>
      <c r="AF52" t="s">
        <v>25</v>
      </c>
      <c r="AH52" t="s">
        <v>26</v>
      </c>
      <c r="AI52" t="s">
        <v>128</v>
      </c>
      <c r="AM52" t="s">
        <v>127</v>
      </c>
      <c r="AN52" t="s">
        <v>24</v>
      </c>
      <c r="AO52" t="s">
        <v>25</v>
      </c>
      <c r="AQ52" t="s">
        <v>26</v>
      </c>
      <c r="AR52" t="s">
        <v>128</v>
      </c>
      <c r="AV52" t="s">
        <v>127</v>
      </c>
      <c r="AW52" t="s">
        <v>24</v>
      </c>
      <c r="AX52" t="s">
        <v>25</v>
      </c>
      <c r="AZ52" t="s">
        <v>26</v>
      </c>
      <c r="BA52" t="s">
        <v>128</v>
      </c>
      <c r="BE52" t="s">
        <v>127</v>
      </c>
      <c r="BF52" t="s">
        <v>24</v>
      </c>
      <c r="BG52" t="s">
        <v>25</v>
      </c>
      <c r="BI52" t="s">
        <v>26</v>
      </c>
      <c r="BJ52" t="s">
        <v>128</v>
      </c>
      <c r="BN52" t="s">
        <v>127</v>
      </c>
      <c r="BO52" t="s">
        <v>24</v>
      </c>
      <c r="BP52" t="s">
        <v>25</v>
      </c>
      <c r="BR52" t="s">
        <v>26</v>
      </c>
      <c r="BS52" t="s">
        <v>128</v>
      </c>
      <c r="BW52" t="s">
        <v>127</v>
      </c>
      <c r="BX52" t="s">
        <v>24</v>
      </c>
      <c r="BY52" t="s">
        <v>25</v>
      </c>
      <c r="CA52" t="s">
        <v>26</v>
      </c>
      <c r="CB52" t="s">
        <v>128</v>
      </c>
      <c r="CF52" t="s">
        <v>127</v>
      </c>
      <c r="CG52" t="s">
        <v>24</v>
      </c>
      <c r="CH52" t="s">
        <v>25</v>
      </c>
      <c r="CJ52" t="s">
        <v>26</v>
      </c>
      <c r="CK52" t="s">
        <v>128</v>
      </c>
    </row>
    <row r="53" spans="1:89" x14ac:dyDescent="0.25">
      <c r="A53" s="172"/>
      <c r="B53" s="181"/>
      <c r="C53" s="185">
        <f>C13</f>
        <v>1</v>
      </c>
      <c r="D53" s="175"/>
      <c r="E53" s="175"/>
      <c r="F53" s="181"/>
      <c r="G53" s="175"/>
      <c r="H53" s="175"/>
      <c r="I53" s="56"/>
      <c r="J53" s="172"/>
      <c r="K53" s="181"/>
      <c r="L53" s="185">
        <f>C13</f>
        <v>1</v>
      </c>
      <c r="M53" s="175"/>
      <c r="N53" s="175"/>
      <c r="O53" s="181"/>
      <c r="P53" s="175"/>
      <c r="Q53" s="175"/>
      <c r="R53" s="56"/>
      <c r="S53" s="173"/>
      <c r="U53">
        <f>C13</f>
        <v>1</v>
      </c>
      <c r="AD53">
        <f>C13</f>
        <v>1</v>
      </c>
      <c r="AM53">
        <f>C13</f>
        <v>1</v>
      </c>
      <c r="AV53">
        <f>C13</f>
        <v>1</v>
      </c>
      <c r="BE53">
        <f>C13</f>
        <v>1</v>
      </c>
      <c r="BN53">
        <f>C13</f>
        <v>1</v>
      </c>
      <c r="BW53">
        <f>C13</f>
        <v>1</v>
      </c>
      <c r="CF53">
        <f>C13</f>
        <v>1</v>
      </c>
    </row>
    <row r="54" spans="1:89" x14ac:dyDescent="0.25">
      <c r="A54" s="172"/>
      <c r="B54" s="181"/>
      <c r="C54" s="181"/>
      <c r="D54" s="181"/>
      <c r="E54" s="181"/>
      <c r="F54" s="181"/>
      <c r="G54" s="183"/>
      <c r="H54" s="183"/>
      <c r="I54" s="56"/>
      <c r="J54" s="172"/>
      <c r="K54" s="181"/>
      <c r="L54" s="181"/>
      <c r="M54" s="181"/>
      <c r="N54" s="181"/>
      <c r="O54" s="181"/>
      <c r="P54" s="183"/>
      <c r="Q54" s="183"/>
      <c r="R54" s="56"/>
      <c r="S54" s="173"/>
    </row>
    <row r="55" spans="1:89" x14ac:dyDescent="0.25">
      <c r="A55" s="172"/>
      <c r="B55" s="148"/>
      <c r="C55" s="289" t="s">
        <v>129</v>
      </c>
      <c r="D55" s="253"/>
      <c r="E55" s="253"/>
      <c r="F55" s="148"/>
      <c r="G55" s="186"/>
      <c r="H55" s="186"/>
      <c r="I55" s="186"/>
      <c r="J55" s="172"/>
      <c r="K55" s="190" t="s">
        <v>46</v>
      </c>
      <c r="L55" s="190"/>
      <c r="M55" s="190"/>
      <c r="N55" s="190"/>
      <c r="O55" s="190"/>
      <c r="P55" s="190"/>
      <c r="Q55" s="58"/>
      <c r="R55" s="186"/>
      <c r="S55" s="173"/>
      <c r="T55" t="s">
        <v>46</v>
      </c>
      <c r="AC55" t="s">
        <v>46</v>
      </c>
      <c r="AL55" t="s">
        <v>46</v>
      </c>
      <c r="AU55" t="s">
        <v>46</v>
      </c>
      <c r="BD55" t="s">
        <v>46</v>
      </c>
      <c r="BM55" t="s">
        <v>46</v>
      </c>
      <c r="BV55" t="s">
        <v>46</v>
      </c>
      <c r="CE55" t="s">
        <v>46</v>
      </c>
    </row>
    <row r="56" spans="1:89" ht="72" customHeight="1" x14ac:dyDescent="0.25">
      <c r="A56" s="172"/>
      <c r="B56" s="148"/>
      <c r="C56" s="148" t="s">
        <v>130</v>
      </c>
      <c r="D56" s="148" t="s">
        <v>131</v>
      </c>
      <c r="E56" s="148" t="s">
        <v>132</v>
      </c>
      <c r="F56" s="148"/>
      <c r="G56" s="186"/>
      <c r="H56" s="186"/>
      <c r="I56" s="186"/>
      <c r="J56" s="172"/>
      <c r="K56" s="58"/>
      <c r="L56" s="58" t="s">
        <v>133</v>
      </c>
      <c r="M56" s="58" t="s">
        <v>134</v>
      </c>
      <c r="N56" s="58" t="s">
        <v>135</v>
      </c>
      <c r="O56" s="58" t="s">
        <v>136</v>
      </c>
      <c r="P56" s="58" t="s">
        <v>137</v>
      </c>
      <c r="Q56" s="58"/>
      <c r="R56" s="186"/>
      <c r="S56" s="173"/>
      <c r="U56" t="s">
        <v>133</v>
      </c>
      <c r="V56" t="s">
        <v>134</v>
      </c>
      <c r="W56" t="s">
        <v>135</v>
      </c>
      <c r="X56" t="s">
        <v>136</v>
      </c>
      <c r="Y56" t="s">
        <v>137</v>
      </c>
      <c r="AD56" t="s">
        <v>133</v>
      </c>
      <c r="AE56" t="s">
        <v>134</v>
      </c>
      <c r="AF56" t="s">
        <v>135</v>
      </c>
      <c r="AG56" t="s">
        <v>136</v>
      </c>
      <c r="AH56" t="s">
        <v>137</v>
      </c>
      <c r="AM56" t="s">
        <v>133</v>
      </c>
      <c r="AN56" t="s">
        <v>134</v>
      </c>
      <c r="AO56" t="s">
        <v>135</v>
      </c>
      <c r="AP56" t="s">
        <v>136</v>
      </c>
      <c r="AQ56" t="s">
        <v>137</v>
      </c>
      <c r="AV56" t="s">
        <v>133</v>
      </c>
      <c r="AW56" t="s">
        <v>134</v>
      </c>
      <c r="AX56" t="s">
        <v>135</v>
      </c>
      <c r="AY56" t="s">
        <v>136</v>
      </c>
      <c r="AZ56" t="s">
        <v>137</v>
      </c>
      <c r="BE56" t="s">
        <v>133</v>
      </c>
      <c r="BF56" t="s">
        <v>134</v>
      </c>
      <c r="BG56" t="s">
        <v>135</v>
      </c>
      <c r="BH56" t="s">
        <v>136</v>
      </c>
      <c r="BI56" t="s">
        <v>137</v>
      </c>
      <c r="BN56" t="s">
        <v>133</v>
      </c>
      <c r="BO56" t="s">
        <v>134</v>
      </c>
      <c r="BP56" t="s">
        <v>135</v>
      </c>
      <c r="BQ56" t="s">
        <v>136</v>
      </c>
      <c r="BR56" t="s">
        <v>137</v>
      </c>
      <c r="BW56" t="s">
        <v>133</v>
      </c>
      <c r="BX56" t="s">
        <v>134</v>
      </c>
      <c r="BY56" t="s">
        <v>135</v>
      </c>
      <c r="BZ56" t="s">
        <v>136</v>
      </c>
      <c r="CA56" t="s">
        <v>137</v>
      </c>
      <c r="CF56" t="s">
        <v>133</v>
      </c>
      <c r="CG56" t="s">
        <v>134</v>
      </c>
      <c r="CH56" t="s">
        <v>135</v>
      </c>
      <c r="CI56" t="s">
        <v>136</v>
      </c>
      <c r="CJ56" t="s">
        <v>137</v>
      </c>
    </row>
    <row r="57" spans="1:89" x14ac:dyDescent="0.25">
      <c r="A57" s="172"/>
      <c r="B57" s="148"/>
      <c r="C57" s="187">
        <f>C17</f>
        <v>3.5</v>
      </c>
      <c r="D57" s="187">
        <f>D17</f>
        <v>3.5</v>
      </c>
      <c r="E57" s="187">
        <f>E17</f>
        <v>3.5</v>
      </c>
      <c r="F57" s="148"/>
      <c r="G57" s="186"/>
      <c r="H57" s="186"/>
      <c r="I57" s="186"/>
      <c r="J57" s="172"/>
      <c r="K57" s="58"/>
      <c r="L57" s="187" t="str">
        <f>C21</f>
        <v>&lt;=1%</v>
      </c>
      <c r="M57" s="187" t="str">
        <f>D21</f>
        <v>&lt;=1%</v>
      </c>
      <c r="N57" s="187" t="str">
        <f>E21</f>
        <v>&lt;=2%</v>
      </c>
      <c r="O57" s="187">
        <f>F21</f>
        <v>3</v>
      </c>
      <c r="P57" s="187">
        <f>G21</f>
        <v>1000</v>
      </c>
      <c r="Q57" s="58"/>
      <c r="R57" s="186"/>
      <c r="S57" s="173"/>
      <c r="U57" t="str">
        <f>C21</f>
        <v>&lt;=1%</v>
      </c>
      <c r="V57" t="str">
        <f>D21</f>
        <v>&lt;=1%</v>
      </c>
      <c r="W57" t="str">
        <f>E21</f>
        <v>&lt;=2%</v>
      </c>
      <c r="X57">
        <f>F21</f>
        <v>3</v>
      </c>
      <c r="Y57">
        <f>G21</f>
        <v>1000</v>
      </c>
      <c r="AD57" t="str">
        <f>C21</f>
        <v>&lt;=1%</v>
      </c>
      <c r="AE57" t="str">
        <f>D21</f>
        <v>&lt;=1%</v>
      </c>
      <c r="AF57" t="str">
        <f>E21</f>
        <v>&lt;=2%</v>
      </c>
      <c r="AG57">
        <f>F21</f>
        <v>3</v>
      </c>
      <c r="AH57">
        <f>G21</f>
        <v>1000</v>
      </c>
      <c r="AM57" t="str">
        <f>C21</f>
        <v>&lt;=1%</v>
      </c>
      <c r="AN57" t="str">
        <f>D21</f>
        <v>&lt;=1%</v>
      </c>
      <c r="AO57" t="str">
        <f>E21</f>
        <v>&lt;=2%</v>
      </c>
      <c r="AP57">
        <f>F21</f>
        <v>3</v>
      </c>
      <c r="AQ57">
        <f>G21</f>
        <v>1000</v>
      </c>
      <c r="AV57" t="str">
        <f>C21</f>
        <v>&lt;=1%</v>
      </c>
      <c r="AW57" t="str">
        <f>D21</f>
        <v>&lt;=1%</v>
      </c>
      <c r="AX57" t="str">
        <f>E21</f>
        <v>&lt;=2%</v>
      </c>
      <c r="AY57">
        <f>F21</f>
        <v>3</v>
      </c>
      <c r="AZ57">
        <f>G21</f>
        <v>1000</v>
      </c>
      <c r="BE57" t="str">
        <f>C21</f>
        <v>&lt;=1%</v>
      </c>
      <c r="BF57" t="str">
        <f>D21</f>
        <v>&lt;=1%</v>
      </c>
      <c r="BG57" t="str">
        <f>E21</f>
        <v>&lt;=2%</v>
      </c>
      <c r="BH57">
        <f>F21</f>
        <v>3</v>
      </c>
      <c r="BI57">
        <f>G21</f>
        <v>1000</v>
      </c>
      <c r="BN57" t="str">
        <f>C21</f>
        <v>&lt;=1%</v>
      </c>
      <c r="BO57" t="str">
        <f>D21</f>
        <v>&lt;=1%</v>
      </c>
      <c r="BP57" t="str">
        <f>E21</f>
        <v>&lt;=2%</v>
      </c>
      <c r="BQ57">
        <f>F21</f>
        <v>3</v>
      </c>
      <c r="BR57">
        <f>G21</f>
        <v>1000</v>
      </c>
      <c r="BW57" t="str">
        <f>C21</f>
        <v>&lt;=1%</v>
      </c>
      <c r="BX57" t="str">
        <f>D21</f>
        <v>&lt;=1%</v>
      </c>
      <c r="BY57" t="str">
        <f>E21</f>
        <v>&lt;=2%</v>
      </c>
      <c r="BZ57">
        <f>F21</f>
        <v>3</v>
      </c>
      <c r="CA57">
        <f>G21</f>
        <v>1000</v>
      </c>
      <c r="CF57" t="str">
        <f>C21</f>
        <v>&lt;=1%</v>
      </c>
      <c r="CG57" t="str">
        <f>D21</f>
        <v>&lt;=1%</v>
      </c>
      <c r="CH57" t="str">
        <f>E21</f>
        <v>&lt;=2%</v>
      </c>
      <c r="CI57">
        <f>F21</f>
        <v>3</v>
      </c>
      <c r="CJ57">
        <f>G21</f>
        <v>1000</v>
      </c>
    </row>
    <row r="58" spans="1:89" x14ac:dyDescent="0.25">
      <c r="A58" s="172"/>
      <c r="B58" s="148"/>
      <c r="C58" s="148"/>
      <c r="D58" s="148"/>
      <c r="E58" s="148"/>
      <c r="F58" s="148"/>
      <c r="G58" s="186"/>
      <c r="H58" s="186"/>
      <c r="I58" s="186"/>
      <c r="J58" s="172"/>
      <c r="K58" s="58"/>
      <c r="L58" s="58"/>
      <c r="M58" s="58"/>
      <c r="N58" s="58"/>
      <c r="O58" s="58"/>
      <c r="P58" s="58"/>
      <c r="Q58" s="58"/>
      <c r="R58" s="186"/>
      <c r="S58" s="173"/>
    </row>
    <row r="59" spans="1:89" x14ac:dyDescent="0.25">
      <c r="A59" s="173"/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</row>
    <row r="60" spans="1:89" x14ac:dyDescent="0.25">
      <c r="A60" s="172"/>
      <c r="B60" s="297" t="s">
        <v>10</v>
      </c>
      <c r="C60" s="253"/>
      <c r="D60" s="253"/>
      <c r="E60" s="253"/>
      <c r="F60" s="253"/>
      <c r="G60" s="253"/>
      <c r="H60" s="253"/>
      <c r="I60" s="253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89" x14ac:dyDescent="0.25">
      <c r="A61" s="172"/>
      <c r="B61" s="146"/>
      <c r="C61" s="146"/>
      <c r="D61" s="146"/>
      <c r="E61" s="146"/>
      <c r="F61" s="186"/>
      <c r="G61" s="186"/>
      <c r="H61" s="186"/>
      <c r="I61" s="186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89" ht="28.9" customHeight="1" x14ac:dyDescent="0.25">
      <c r="A62" s="172"/>
      <c r="B62" s="146"/>
      <c r="C62" s="146" t="s">
        <v>122</v>
      </c>
      <c r="D62" s="146" t="s">
        <v>123</v>
      </c>
      <c r="E62" s="146"/>
      <c r="F62" s="186"/>
      <c r="G62" s="186"/>
      <c r="H62" s="186"/>
      <c r="I62" s="186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89" x14ac:dyDescent="0.25">
      <c r="A63" s="172"/>
      <c r="B63" s="146"/>
      <c r="C63" s="187">
        <f>G9</f>
        <v>0</v>
      </c>
      <c r="D63" s="187">
        <f>H9</f>
        <v>0</v>
      </c>
      <c r="E63" s="146"/>
      <c r="F63" s="186"/>
      <c r="G63" s="186"/>
      <c r="H63" s="186"/>
      <c r="I63" s="186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89" x14ac:dyDescent="0.25">
      <c r="A64" s="172"/>
      <c r="B64" s="146"/>
      <c r="C64" s="146"/>
      <c r="D64" s="146"/>
      <c r="E64" s="146"/>
      <c r="F64" s="186"/>
      <c r="G64" s="186"/>
      <c r="H64" s="186"/>
      <c r="I64" s="186"/>
      <c r="J64" s="173"/>
      <c r="K64" s="173"/>
      <c r="L64" s="173"/>
      <c r="M64" s="173"/>
      <c r="N64" s="173"/>
      <c r="O64" s="173"/>
      <c r="P64" s="173"/>
      <c r="Q64" s="173"/>
      <c r="R64" s="173"/>
      <c r="S64" s="173"/>
    </row>
    <row r="65" spans="1:19" x14ac:dyDescent="0.25">
      <c r="A65" s="173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</row>
  </sheetData>
  <mergeCells count="41">
    <mergeCell ref="B3:D3"/>
    <mergeCell ref="B24:I24"/>
    <mergeCell ref="E25:I25"/>
    <mergeCell ref="L37:N37"/>
    <mergeCell ref="B4:D6"/>
    <mergeCell ref="B25:D25"/>
    <mergeCell ref="E3:I3"/>
    <mergeCell ref="L15:N15"/>
    <mergeCell ref="C7:I7"/>
    <mergeCell ref="N3:R3"/>
    <mergeCell ref="B2:I2"/>
    <mergeCell ref="B42:I42"/>
    <mergeCell ref="B60:I60"/>
    <mergeCell ref="L7:R7"/>
    <mergeCell ref="P11:Q11"/>
    <mergeCell ref="C37:E37"/>
    <mergeCell ref="G33:H33"/>
    <mergeCell ref="K4:M6"/>
    <mergeCell ref="K2:R2"/>
    <mergeCell ref="C29:I29"/>
    <mergeCell ref="C47:I47"/>
    <mergeCell ref="B26:D28"/>
    <mergeCell ref="K42:R42"/>
    <mergeCell ref="K3:M3"/>
    <mergeCell ref="B43:D43"/>
    <mergeCell ref="B19:H19"/>
    <mergeCell ref="C55:E55"/>
    <mergeCell ref="P51:Q51"/>
    <mergeCell ref="G11:H11"/>
    <mergeCell ref="N25:R25"/>
    <mergeCell ref="K26:M28"/>
    <mergeCell ref="K24:R24"/>
    <mergeCell ref="K43:M43"/>
    <mergeCell ref="B44:D46"/>
    <mergeCell ref="C15:E15"/>
    <mergeCell ref="K25:M25"/>
    <mergeCell ref="G51:H51"/>
    <mergeCell ref="P33:Q33"/>
    <mergeCell ref="L29:R29"/>
    <mergeCell ref="K44:M46"/>
    <mergeCell ref="E43:I4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 sqref="A1:K2"/>
    </sheetView>
  </sheetViews>
  <sheetFormatPr defaultRowHeight="15" x14ac:dyDescent="0.25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25">
      <c r="A1" s="287" t="s">
        <v>140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8" spans="1:53" x14ac:dyDescent="0.25">
      <c r="C8" s="286" t="s">
        <v>141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10" spans="1:53" ht="3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t="s">
        <v>75</v>
      </c>
      <c r="BA10" t="s">
        <v>142</v>
      </c>
    </row>
    <row r="11" spans="1:53" x14ac:dyDescent="0.25">
      <c r="B11" s="193">
        <f>EDATE(DATE(_Setup!$B$4,10,1),ROW()-ROW($B$11))</f>
        <v>45931</v>
      </c>
      <c r="C11" s="202">
        <f>Portland!C25</f>
        <v>62</v>
      </c>
      <c r="D11" s="202">
        <f>Portland!D25</f>
        <v>22</v>
      </c>
      <c r="E11" s="201">
        <f t="shared" ref="E11:E22" si="0">IFERROR(D11/C11,"")</f>
        <v>0.35483870967741937</v>
      </c>
      <c r="F11" s="202">
        <f>Portland!F25</f>
        <v>2</v>
      </c>
      <c r="G11" s="202">
        <f>Portland!G25</f>
        <v>2</v>
      </c>
      <c r="H11" s="201">
        <f t="shared" ref="H11:H22" si="1">IFERROR(G11/F11,"")</f>
        <v>1</v>
      </c>
      <c r="I11" s="202">
        <f>Portland!I25</f>
        <v>0</v>
      </c>
      <c r="J11" s="202">
        <f>Portland!J25</f>
        <v>0</v>
      </c>
      <c r="K11" s="202">
        <f>Portland!K25</f>
        <v>0</v>
      </c>
      <c r="L11" s="202">
        <f>Portland!L25</f>
        <v>0</v>
      </c>
      <c r="M11" s="201" t="str">
        <f t="shared" ref="M11:M22" si="2">IFERROR(L11/K11,"")</f>
        <v/>
      </c>
      <c r="N11" s="202">
        <f>Portland!N25</f>
        <v>0</v>
      </c>
      <c r="O11" s="202">
        <f>Portland!O25</f>
        <v>0</v>
      </c>
    </row>
    <row r="12" spans="1:53" x14ac:dyDescent="0.25">
      <c r="B12" s="193">
        <f>EDATE(DATE(_Setup!$B$4,10,1),ROW()-ROW($B$11))</f>
        <v>45962</v>
      </c>
      <c r="C12" s="202">
        <f>Portland!C26</f>
        <v>47</v>
      </c>
      <c r="D12" s="202">
        <f>Portland!D26</f>
        <v>23</v>
      </c>
      <c r="E12" s="201">
        <f t="shared" si="0"/>
        <v>0.48936170212765956</v>
      </c>
      <c r="F12" s="202">
        <f>Portland!F26</f>
        <v>0</v>
      </c>
      <c r="G12" s="202">
        <f>Portland!G26</f>
        <v>0</v>
      </c>
      <c r="H12" s="201" t="str">
        <f t="shared" si="1"/>
        <v/>
      </c>
      <c r="I12" s="202">
        <f>Portland!I26</f>
        <v>0</v>
      </c>
      <c r="J12" s="202">
        <f>Portland!J26</f>
        <v>0</v>
      </c>
      <c r="K12" s="202">
        <f>Portland!K26</f>
        <v>0</v>
      </c>
      <c r="L12" s="202">
        <f>Portland!L26</f>
        <v>0</v>
      </c>
      <c r="M12" s="201" t="str">
        <f t="shared" si="2"/>
        <v/>
      </c>
      <c r="N12" s="202">
        <f>Portland!N26</f>
        <v>0</v>
      </c>
      <c r="O12" s="202">
        <f>Portland!O26</f>
        <v>0</v>
      </c>
    </row>
    <row r="13" spans="1:53" x14ac:dyDescent="0.25">
      <c r="B13" s="193">
        <f>EDATE(DATE(_Setup!$B$4,10,1),ROW()-ROW($B$11))</f>
        <v>45992</v>
      </c>
      <c r="C13" s="202">
        <f>Portland!C27</f>
        <v>63</v>
      </c>
      <c r="D13" s="202">
        <f>Portland!D27</f>
        <v>22</v>
      </c>
      <c r="E13" s="201">
        <f t="shared" si="0"/>
        <v>0.34920634920634919</v>
      </c>
      <c r="F13" s="202">
        <f>Portland!F27</f>
        <v>1</v>
      </c>
      <c r="G13" s="202">
        <f>Portland!G27</f>
        <v>1</v>
      </c>
      <c r="H13" s="201">
        <f t="shared" si="1"/>
        <v>1</v>
      </c>
      <c r="I13" s="202">
        <f>Portland!I27</f>
        <v>0</v>
      </c>
      <c r="J13" s="202">
        <f>Portland!J27</f>
        <v>0</v>
      </c>
      <c r="K13" s="202">
        <f>Portland!K27</f>
        <v>0</v>
      </c>
      <c r="L13" s="202">
        <f>Portland!L27</f>
        <v>0</v>
      </c>
      <c r="M13" s="201" t="str">
        <f t="shared" si="2"/>
        <v/>
      </c>
      <c r="N13" s="202">
        <f>Portland!N27</f>
        <v>0</v>
      </c>
      <c r="O13" s="202">
        <f>Portland!O27</f>
        <v>0</v>
      </c>
    </row>
    <row r="14" spans="1:53" x14ac:dyDescent="0.25">
      <c r="B14" s="193">
        <f>EDATE(DATE(_Setup!$B$4,10,1),ROW()-ROW($B$11))</f>
        <v>46023</v>
      </c>
      <c r="C14" s="202">
        <f>Portland!C28</f>
        <v>39</v>
      </c>
      <c r="D14" s="202">
        <f>Portland!D28</f>
        <v>14</v>
      </c>
      <c r="E14" s="201">
        <f t="shared" si="0"/>
        <v>0.35897435897435898</v>
      </c>
      <c r="F14" s="202">
        <f>Portland!F28</f>
        <v>1</v>
      </c>
      <c r="G14" s="202">
        <f>Portland!G28</f>
        <v>1</v>
      </c>
      <c r="H14" s="201">
        <f t="shared" si="1"/>
        <v>1</v>
      </c>
      <c r="I14" s="202">
        <f>Portland!I28</f>
        <v>0</v>
      </c>
      <c r="J14" s="202">
        <f>Portland!J28</f>
        <v>0</v>
      </c>
      <c r="K14" s="202">
        <f>Portland!K28</f>
        <v>0</v>
      </c>
      <c r="L14" s="202">
        <f>Portland!L28</f>
        <v>0</v>
      </c>
      <c r="M14" s="201" t="str">
        <f t="shared" si="2"/>
        <v/>
      </c>
      <c r="N14" s="202">
        <f>Portland!N28</f>
        <v>0</v>
      </c>
      <c r="O14" s="202">
        <f>Portland!O28</f>
        <v>0</v>
      </c>
    </row>
    <row r="15" spans="1:53" x14ac:dyDescent="0.25">
      <c r="B15" s="193">
        <f>EDATE(DATE(_Setup!$B$4,10,1),ROW()-ROW($B$11))</f>
        <v>46054</v>
      </c>
      <c r="C15" s="202">
        <f>Portland!C29</f>
        <v>57</v>
      </c>
      <c r="D15" s="202">
        <f>Portland!D29</f>
        <v>22</v>
      </c>
      <c r="E15" s="201">
        <f t="shared" si="0"/>
        <v>0.38596491228070173</v>
      </c>
      <c r="F15" s="202">
        <f>Portland!F29</f>
        <v>0</v>
      </c>
      <c r="G15" s="202">
        <f>Portland!G29</f>
        <v>0</v>
      </c>
      <c r="H15" s="201" t="str">
        <f t="shared" si="1"/>
        <v/>
      </c>
      <c r="I15" s="202">
        <f>Portland!I29</f>
        <v>0</v>
      </c>
      <c r="J15" s="202">
        <f>Portland!J29</f>
        <v>0</v>
      </c>
      <c r="K15" s="202">
        <f>Portland!K29</f>
        <v>0</v>
      </c>
      <c r="L15" s="202">
        <f>Portland!L29</f>
        <v>0</v>
      </c>
      <c r="M15" s="201" t="str">
        <f t="shared" si="2"/>
        <v/>
      </c>
      <c r="N15" s="202">
        <f>Portland!N29</f>
        <v>0</v>
      </c>
      <c r="O15" s="202">
        <f>Portland!O29</f>
        <v>0</v>
      </c>
    </row>
    <row r="16" spans="1:53" x14ac:dyDescent="0.25">
      <c r="B16" s="193">
        <f>EDATE(DATE(_Setup!$B$4,10,1),ROW()-ROW($B$11))</f>
        <v>46082</v>
      </c>
      <c r="C16" s="202">
        <f>Portland!C30</f>
        <v>74</v>
      </c>
      <c r="D16" s="202">
        <f>Portland!D30</f>
        <v>32</v>
      </c>
      <c r="E16" s="201">
        <f t="shared" si="0"/>
        <v>0.43243243243243246</v>
      </c>
      <c r="F16" s="202">
        <f>Portland!F30</f>
        <v>1</v>
      </c>
      <c r="G16" s="202">
        <f>Portland!G30</f>
        <v>1</v>
      </c>
      <c r="H16" s="201">
        <f t="shared" si="1"/>
        <v>1</v>
      </c>
      <c r="I16" s="202">
        <f>Portland!I30</f>
        <v>0</v>
      </c>
      <c r="J16" s="202">
        <f>Portland!J30</f>
        <v>0</v>
      </c>
      <c r="K16" s="202">
        <f>Portland!K30</f>
        <v>0</v>
      </c>
      <c r="L16" s="202">
        <f>Portland!L30</f>
        <v>0</v>
      </c>
      <c r="M16" s="201" t="str">
        <f t="shared" si="2"/>
        <v/>
      </c>
      <c r="N16" s="202">
        <f>Portland!N30</f>
        <v>0</v>
      </c>
      <c r="O16" s="202">
        <f>Portland!O30</f>
        <v>0</v>
      </c>
    </row>
    <row r="17" spans="2:15" x14ac:dyDescent="0.25">
      <c r="B17" s="193">
        <f>EDATE(DATE(_Setup!$B$4,10,1),ROW()-ROW($B$11))</f>
        <v>46113</v>
      </c>
      <c r="C17" s="202">
        <f>Portland!C31</f>
        <v>57</v>
      </c>
      <c r="D17" s="202">
        <f>Portland!D31</f>
        <v>49</v>
      </c>
      <c r="E17" s="201">
        <f t="shared" si="0"/>
        <v>0.85964912280701755</v>
      </c>
      <c r="F17" s="202">
        <f>Portland!F31</f>
        <v>1</v>
      </c>
      <c r="G17" s="202">
        <f>Portland!G31</f>
        <v>1</v>
      </c>
      <c r="H17" s="201">
        <f t="shared" si="1"/>
        <v>1</v>
      </c>
      <c r="I17" s="202">
        <f>Portland!I31</f>
        <v>0</v>
      </c>
      <c r="J17" s="202">
        <f>Portland!J31</f>
        <v>0</v>
      </c>
      <c r="K17" s="202">
        <f>Portland!K31</f>
        <v>0</v>
      </c>
      <c r="L17" s="202">
        <f>Portland!L31</f>
        <v>0</v>
      </c>
      <c r="M17" s="201" t="str">
        <f t="shared" si="2"/>
        <v/>
      </c>
      <c r="N17" s="202">
        <f>Portland!N31</f>
        <v>0</v>
      </c>
      <c r="O17" s="202">
        <f>Portland!O31</f>
        <v>0</v>
      </c>
    </row>
    <row r="18" spans="2:15" x14ac:dyDescent="0.25">
      <c r="B18" s="193">
        <f>EDATE(DATE(_Setup!$B$4,10,1),ROW()-ROW($B$11))</f>
        <v>46143</v>
      </c>
      <c r="C18" s="202">
        <f>Portland!C32</f>
        <v>62</v>
      </c>
      <c r="D18" s="202">
        <f>Portland!D32</f>
        <v>56</v>
      </c>
      <c r="E18" s="201">
        <f t="shared" si="0"/>
        <v>0.90322580645161288</v>
      </c>
      <c r="F18" s="202">
        <f>Portland!F32</f>
        <v>2</v>
      </c>
      <c r="G18" s="202">
        <f>Portland!G32</f>
        <v>2</v>
      </c>
      <c r="H18" s="201">
        <f t="shared" si="1"/>
        <v>1</v>
      </c>
      <c r="I18" s="202">
        <f>Portland!I32</f>
        <v>0</v>
      </c>
      <c r="J18" s="202">
        <f>Portland!J32</f>
        <v>0</v>
      </c>
      <c r="K18" s="202">
        <f>Portland!K32</f>
        <v>0</v>
      </c>
      <c r="L18" s="202">
        <f>Portland!L32</f>
        <v>0</v>
      </c>
      <c r="M18" s="201" t="str">
        <f t="shared" si="2"/>
        <v/>
      </c>
      <c r="N18" s="202">
        <f>Portland!N32</f>
        <v>0</v>
      </c>
      <c r="O18" s="202">
        <f>Portland!O32</f>
        <v>0</v>
      </c>
    </row>
    <row r="19" spans="2:15" x14ac:dyDescent="0.25">
      <c r="B19" s="193">
        <f>EDATE(DATE(_Setup!$B$4,10,1),ROW()-ROW($B$11))</f>
        <v>46174</v>
      </c>
      <c r="C19" s="202">
        <f>Portland!C33</f>
        <v>47</v>
      </c>
      <c r="D19" s="202">
        <f>Portland!D33</f>
        <v>38</v>
      </c>
      <c r="E19" s="201">
        <f t="shared" si="0"/>
        <v>0.80851063829787229</v>
      </c>
      <c r="F19" s="202">
        <f>Portland!F33</f>
        <v>0</v>
      </c>
      <c r="G19" s="202">
        <f>Portland!G33</f>
        <v>0</v>
      </c>
      <c r="H19" s="201" t="str">
        <f t="shared" si="1"/>
        <v/>
      </c>
      <c r="I19" s="202">
        <f>Portland!I33</f>
        <v>0</v>
      </c>
      <c r="J19" s="202">
        <f>Portland!J33</f>
        <v>0</v>
      </c>
      <c r="K19" s="202">
        <f>Portland!K33</f>
        <v>0</v>
      </c>
      <c r="L19" s="202">
        <f>Portland!L33</f>
        <v>0</v>
      </c>
      <c r="M19" s="201" t="str">
        <f t="shared" si="2"/>
        <v/>
      </c>
      <c r="N19" s="202">
        <f>Portland!N33</f>
        <v>0</v>
      </c>
      <c r="O19" s="202">
        <f>Portland!O33</f>
        <v>0</v>
      </c>
    </row>
    <row r="20" spans="2:15" x14ac:dyDescent="0.25">
      <c r="B20" s="193">
        <f>EDATE(DATE(_Setup!$B$4,10,1),ROW()-ROW($B$11))</f>
        <v>46204</v>
      </c>
      <c r="C20" s="202">
        <f>Portland!C34</f>
        <v>0</v>
      </c>
      <c r="D20" s="202">
        <f>Portland!D34</f>
        <v>0</v>
      </c>
      <c r="E20" s="201" t="str">
        <f t="shared" si="0"/>
        <v/>
      </c>
      <c r="F20" s="202">
        <f>Portland!F34</f>
        <v>0</v>
      </c>
      <c r="G20" s="202">
        <f>Portland!G34</f>
        <v>0</v>
      </c>
      <c r="H20" s="201" t="str">
        <f t="shared" si="1"/>
        <v/>
      </c>
      <c r="I20" s="202">
        <f>Portland!I34</f>
        <v>0</v>
      </c>
      <c r="J20" s="202">
        <f>Portland!J34</f>
        <v>0</v>
      </c>
      <c r="K20" s="202">
        <f>Portland!K34</f>
        <v>0</v>
      </c>
      <c r="L20" s="202">
        <f>Portland!L34</f>
        <v>0</v>
      </c>
      <c r="M20" s="201" t="str">
        <f t="shared" si="2"/>
        <v/>
      </c>
      <c r="N20" s="202">
        <f>Portland!N34</f>
        <v>0</v>
      </c>
      <c r="O20" s="202">
        <f>Portland!O34</f>
        <v>0</v>
      </c>
    </row>
    <row r="21" spans="2:15" x14ac:dyDescent="0.25">
      <c r="B21" s="193">
        <f>EDATE(DATE(_Setup!$B$4,10,1),ROW()-ROW($B$11))</f>
        <v>46235</v>
      </c>
      <c r="C21" s="202">
        <f>Portland!C35</f>
        <v>0</v>
      </c>
      <c r="D21" s="202">
        <f>Portland!D35</f>
        <v>0</v>
      </c>
      <c r="E21" s="201" t="str">
        <f t="shared" si="0"/>
        <v/>
      </c>
      <c r="F21" s="202">
        <f>Portland!F35</f>
        <v>0</v>
      </c>
      <c r="G21" s="202">
        <f>Portland!G35</f>
        <v>0</v>
      </c>
      <c r="H21" s="201" t="str">
        <f t="shared" si="1"/>
        <v/>
      </c>
      <c r="I21" s="202">
        <f>Portland!I35</f>
        <v>0</v>
      </c>
      <c r="J21" s="202">
        <f>Portland!J35</f>
        <v>0</v>
      </c>
      <c r="K21" s="202">
        <f>Portland!K35</f>
        <v>0</v>
      </c>
      <c r="L21" s="202">
        <f>Portland!L35</f>
        <v>0</v>
      </c>
      <c r="M21" s="201" t="str">
        <f t="shared" si="2"/>
        <v/>
      </c>
      <c r="N21" s="202">
        <f>Portland!N35</f>
        <v>0</v>
      </c>
      <c r="O21" s="202">
        <f>Portland!O35</f>
        <v>0</v>
      </c>
    </row>
    <row r="22" spans="2:15" x14ac:dyDescent="0.25">
      <c r="B22" s="193">
        <f>EDATE(DATE(_Setup!$B$4,10,1),ROW()-ROW($B$11))</f>
        <v>46266</v>
      </c>
      <c r="C22" s="202">
        <f>Portland!C36</f>
        <v>0</v>
      </c>
      <c r="D22" s="202">
        <f>Portland!D36</f>
        <v>0</v>
      </c>
      <c r="E22" s="201" t="str">
        <f t="shared" si="0"/>
        <v/>
      </c>
      <c r="F22" s="202">
        <f>Portland!F36</f>
        <v>0</v>
      </c>
      <c r="G22" s="202">
        <f>Portland!G36</f>
        <v>0</v>
      </c>
      <c r="H22" s="201" t="str">
        <f t="shared" si="1"/>
        <v/>
      </c>
      <c r="I22" s="202">
        <f>Portland!I36</f>
        <v>0</v>
      </c>
      <c r="J22" s="202">
        <f>Portland!J36</f>
        <v>0</v>
      </c>
      <c r="K22" s="202">
        <f>Portland!K36</f>
        <v>0</v>
      </c>
      <c r="L22" s="202">
        <f>Portland!L36</f>
        <v>0</v>
      </c>
      <c r="M22" s="201" t="str">
        <f t="shared" si="2"/>
        <v/>
      </c>
      <c r="N22" s="202">
        <f>Portland!N36</f>
        <v>0</v>
      </c>
      <c r="O22" s="202">
        <f>Portland!O36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 sqref="A1:K2"/>
    </sheetView>
  </sheetViews>
  <sheetFormatPr defaultRowHeight="15" x14ac:dyDescent="0.25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25">
      <c r="A1" s="287" t="s">
        <v>143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8" spans="1:53" x14ac:dyDescent="0.25">
      <c r="C8" s="286" t="s">
        <v>141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10" spans="1:53" ht="3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t="s">
        <v>75</v>
      </c>
      <c r="BA10" t="s">
        <v>142</v>
      </c>
    </row>
    <row r="11" spans="1:53" x14ac:dyDescent="0.25">
      <c r="B11" s="193">
        <f>EDATE(DATE(_Setup!$B$4,10,1),ROW()-ROW($B$11))</f>
        <v>45931</v>
      </c>
      <c r="C11" s="202">
        <f>Vancouver!C25</f>
        <v>71</v>
      </c>
      <c r="D11" s="202">
        <f>Vancouver!D25</f>
        <v>38</v>
      </c>
      <c r="E11" s="201">
        <f t="shared" ref="E11:E22" si="0">IFERROR(D11/C11,"")</f>
        <v>0.53521126760563376</v>
      </c>
      <c r="F11" s="202">
        <f>Vancouver!F25</f>
        <v>0</v>
      </c>
      <c r="G11" s="202">
        <f>Vancouver!G25</f>
        <v>0</v>
      </c>
      <c r="H11" s="201" t="str">
        <f t="shared" ref="H11:H22" si="1">IFERROR(G11/F11,"")</f>
        <v/>
      </c>
      <c r="I11" s="202">
        <f>Vancouver!I25</f>
        <v>1</v>
      </c>
      <c r="J11" s="202">
        <f>Vancouver!J25</f>
        <v>8</v>
      </c>
      <c r="K11" s="202">
        <f>Vancouver!K25</f>
        <v>0</v>
      </c>
      <c r="L11" s="202">
        <f>Vancouver!L25</f>
        <v>0</v>
      </c>
      <c r="M11" s="201" t="str">
        <f t="shared" ref="M11:M22" si="2">IFERROR(L11/K11,"")</f>
        <v/>
      </c>
      <c r="N11" s="202">
        <f>Vancouver!N25</f>
        <v>0</v>
      </c>
      <c r="O11" s="202">
        <f>Vancouver!O25</f>
        <v>0</v>
      </c>
    </row>
    <row r="12" spans="1:53" x14ac:dyDescent="0.25">
      <c r="B12" s="193">
        <f>EDATE(DATE(_Setup!$B$4,10,1),ROW()-ROW($B$11))</f>
        <v>45962</v>
      </c>
      <c r="C12" s="202">
        <f>Vancouver!C26</f>
        <v>55</v>
      </c>
      <c r="D12" s="202">
        <f>Vancouver!D26</f>
        <v>20</v>
      </c>
      <c r="E12" s="201">
        <f t="shared" si="0"/>
        <v>0.36363636363636365</v>
      </c>
      <c r="F12" s="202">
        <f>Vancouver!F26</f>
        <v>0</v>
      </c>
      <c r="G12" s="202">
        <f>Vancouver!G26</f>
        <v>0</v>
      </c>
      <c r="H12" s="201" t="str">
        <f t="shared" si="1"/>
        <v/>
      </c>
      <c r="I12" s="202">
        <f>Vancouver!I26</f>
        <v>0</v>
      </c>
      <c r="J12" s="202">
        <f>Vancouver!J26</f>
        <v>0</v>
      </c>
      <c r="K12" s="202">
        <f>Vancouver!K26</f>
        <v>0</v>
      </c>
      <c r="L12" s="202">
        <f>Vancouver!L26</f>
        <v>0</v>
      </c>
      <c r="M12" s="201" t="str">
        <f t="shared" si="2"/>
        <v/>
      </c>
      <c r="N12" s="202">
        <f>Vancouver!N26</f>
        <v>0</v>
      </c>
      <c r="O12" s="202">
        <f>Vancouver!O26</f>
        <v>0</v>
      </c>
    </row>
    <row r="13" spans="1:53" x14ac:dyDescent="0.25">
      <c r="B13" s="193">
        <f>EDATE(DATE(_Setup!$B$4,10,1),ROW()-ROW($B$11))</f>
        <v>45992</v>
      </c>
      <c r="C13" s="202">
        <f>Vancouver!C27</f>
        <v>61</v>
      </c>
      <c r="D13" s="202">
        <f>Vancouver!D27</f>
        <v>24</v>
      </c>
      <c r="E13" s="201">
        <f t="shared" si="0"/>
        <v>0.39344262295081966</v>
      </c>
      <c r="F13" s="202">
        <f>Vancouver!F27</f>
        <v>0</v>
      </c>
      <c r="G13" s="202">
        <f>Vancouver!G27</f>
        <v>0</v>
      </c>
      <c r="H13" s="201" t="str">
        <f t="shared" si="1"/>
        <v/>
      </c>
      <c r="I13" s="202">
        <f>Vancouver!I27</f>
        <v>0</v>
      </c>
      <c r="J13" s="202">
        <f>Vancouver!J27</f>
        <v>0</v>
      </c>
      <c r="K13" s="202">
        <f>Vancouver!K27</f>
        <v>0</v>
      </c>
      <c r="L13" s="202">
        <f>Vancouver!L27</f>
        <v>0</v>
      </c>
      <c r="M13" s="201" t="str">
        <f t="shared" si="2"/>
        <v/>
      </c>
      <c r="N13" s="202">
        <f>Vancouver!N27</f>
        <v>0</v>
      </c>
      <c r="O13" s="202">
        <f>Vancouver!O27</f>
        <v>0</v>
      </c>
    </row>
    <row r="14" spans="1:53" x14ac:dyDescent="0.25">
      <c r="B14" s="193">
        <f>EDATE(DATE(_Setup!$B$4,10,1),ROW()-ROW($B$11))</f>
        <v>46023</v>
      </c>
      <c r="C14" s="202">
        <f>Vancouver!C28</f>
        <v>64</v>
      </c>
      <c r="D14" s="202">
        <f>Vancouver!D28</f>
        <v>33</v>
      </c>
      <c r="E14" s="201">
        <f t="shared" si="0"/>
        <v>0.515625</v>
      </c>
      <c r="F14" s="202">
        <f>Vancouver!F28</f>
        <v>0</v>
      </c>
      <c r="G14" s="202">
        <f>Vancouver!G28</f>
        <v>0</v>
      </c>
      <c r="H14" s="201" t="str">
        <f t="shared" si="1"/>
        <v/>
      </c>
      <c r="I14" s="202">
        <f>Vancouver!I28</f>
        <v>1</v>
      </c>
      <c r="J14" s="202">
        <f>Vancouver!J28</f>
        <v>8</v>
      </c>
      <c r="K14" s="202">
        <f>Vancouver!K28</f>
        <v>0</v>
      </c>
      <c r="L14" s="202">
        <f>Vancouver!L28</f>
        <v>0</v>
      </c>
      <c r="M14" s="201" t="str">
        <f t="shared" si="2"/>
        <v/>
      </c>
      <c r="N14" s="202">
        <f>Vancouver!N28</f>
        <v>0</v>
      </c>
      <c r="O14" s="202">
        <f>Vancouver!O28</f>
        <v>0</v>
      </c>
    </row>
    <row r="15" spans="1:53" x14ac:dyDescent="0.25">
      <c r="B15" s="193">
        <f>EDATE(DATE(_Setup!$B$4,10,1),ROW()-ROW($B$11))</f>
        <v>46054</v>
      </c>
      <c r="C15" s="202">
        <f>Vancouver!C29</f>
        <v>59</v>
      </c>
      <c r="D15" s="202">
        <f>Vancouver!D29</f>
        <v>30</v>
      </c>
      <c r="E15" s="201">
        <f t="shared" si="0"/>
        <v>0.50847457627118642</v>
      </c>
      <c r="F15" s="202">
        <f>Vancouver!F29</f>
        <v>0</v>
      </c>
      <c r="G15" s="202">
        <f>Vancouver!G29</f>
        <v>0</v>
      </c>
      <c r="H15" s="201" t="str">
        <f t="shared" si="1"/>
        <v/>
      </c>
      <c r="I15" s="202">
        <f>Vancouver!I29</f>
        <v>0</v>
      </c>
      <c r="J15" s="202">
        <f>Vancouver!J29</f>
        <v>0</v>
      </c>
      <c r="K15" s="202">
        <f>Vancouver!K29</f>
        <v>0</v>
      </c>
      <c r="L15" s="202">
        <f>Vancouver!L29</f>
        <v>0</v>
      </c>
      <c r="M15" s="201" t="str">
        <f t="shared" si="2"/>
        <v/>
      </c>
      <c r="N15" s="202">
        <f>Vancouver!N29</f>
        <v>0</v>
      </c>
      <c r="O15" s="202">
        <f>Vancouver!O29</f>
        <v>0</v>
      </c>
    </row>
    <row r="16" spans="1:53" x14ac:dyDescent="0.25">
      <c r="B16" s="193">
        <f>EDATE(DATE(_Setup!$B$4,10,1),ROW()-ROW($B$11))</f>
        <v>46082</v>
      </c>
      <c r="C16" s="202">
        <f>Vancouver!C30</f>
        <v>79</v>
      </c>
      <c r="D16" s="202">
        <f>Vancouver!D30</f>
        <v>65</v>
      </c>
      <c r="E16" s="201">
        <f t="shared" si="0"/>
        <v>0.82278481012658233</v>
      </c>
      <c r="F16" s="202">
        <f>Vancouver!F30</f>
        <v>0</v>
      </c>
      <c r="G16" s="202">
        <f>Vancouver!G30</f>
        <v>0</v>
      </c>
      <c r="H16" s="201" t="str">
        <f t="shared" si="1"/>
        <v/>
      </c>
      <c r="I16" s="202">
        <f>Vancouver!I30</f>
        <v>0</v>
      </c>
      <c r="J16" s="202">
        <f>Vancouver!J30</f>
        <v>0</v>
      </c>
      <c r="K16" s="202">
        <f>Vancouver!K30</f>
        <v>0</v>
      </c>
      <c r="L16" s="202">
        <f>Vancouver!L30</f>
        <v>0</v>
      </c>
      <c r="M16" s="201" t="str">
        <f t="shared" si="2"/>
        <v/>
      </c>
      <c r="N16" s="202">
        <f>Vancouver!N30</f>
        <v>0</v>
      </c>
      <c r="O16" s="202">
        <f>Vancouver!O30</f>
        <v>0</v>
      </c>
    </row>
    <row r="17" spans="2:15" x14ac:dyDescent="0.25">
      <c r="B17" s="193">
        <f>EDATE(DATE(_Setup!$B$4,10,1),ROW()-ROW($B$11))</f>
        <v>46113</v>
      </c>
      <c r="C17" s="202">
        <f>Vancouver!C31</f>
        <v>83</v>
      </c>
      <c r="D17" s="202">
        <f>Vancouver!D31</f>
        <v>79</v>
      </c>
      <c r="E17" s="201">
        <f t="shared" si="0"/>
        <v>0.95180722891566261</v>
      </c>
      <c r="F17" s="202">
        <f>Vancouver!F31</f>
        <v>1</v>
      </c>
      <c r="G17" s="202">
        <f>Vancouver!G31</f>
        <v>1</v>
      </c>
      <c r="H17" s="201">
        <f t="shared" si="1"/>
        <v>1</v>
      </c>
      <c r="I17" s="202">
        <f>Vancouver!I31</f>
        <v>0</v>
      </c>
      <c r="J17" s="202">
        <f>Vancouver!J31</f>
        <v>0</v>
      </c>
      <c r="K17" s="202">
        <f>Vancouver!K31</f>
        <v>0</v>
      </c>
      <c r="L17" s="202">
        <f>Vancouver!L31</f>
        <v>0</v>
      </c>
      <c r="M17" s="201" t="str">
        <f t="shared" si="2"/>
        <v/>
      </c>
      <c r="N17" s="202">
        <f>Vancouver!N31</f>
        <v>0</v>
      </c>
      <c r="O17" s="202">
        <f>Vancouver!O31</f>
        <v>0</v>
      </c>
    </row>
    <row r="18" spans="2:15" x14ac:dyDescent="0.25">
      <c r="B18" s="193">
        <f>EDATE(DATE(_Setup!$B$4,10,1),ROW()-ROW($B$11))</f>
        <v>46143</v>
      </c>
      <c r="C18" s="202">
        <f>Vancouver!C32</f>
        <v>45</v>
      </c>
      <c r="D18" s="202">
        <f>Vancouver!D32</f>
        <v>42</v>
      </c>
      <c r="E18" s="201">
        <f t="shared" si="0"/>
        <v>0.93333333333333335</v>
      </c>
      <c r="F18" s="202">
        <f>Vancouver!F32</f>
        <v>2</v>
      </c>
      <c r="G18" s="202">
        <f>Vancouver!G32</f>
        <v>2</v>
      </c>
      <c r="H18" s="201">
        <f t="shared" si="1"/>
        <v>1</v>
      </c>
      <c r="I18" s="202">
        <f>Vancouver!I32</f>
        <v>0</v>
      </c>
      <c r="J18" s="202">
        <f>Vancouver!J32</f>
        <v>0</v>
      </c>
      <c r="K18" s="202">
        <f>Vancouver!K32</f>
        <v>0</v>
      </c>
      <c r="L18" s="202">
        <f>Vancouver!L32</f>
        <v>0</v>
      </c>
      <c r="M18" s="201" t="str">
        <f t="shared" si="2"/>
        <v/>
      </c>
      <c r="N18" s="202">
        <f>Vancouver!N32</f>
        <v>0</v>
      </c>
      <c r="O18" s="202">
        <f>Vancouver!O32</f>
        <v>0</v>
      </c>
    </row>
    <row r="19" spans="2:15" x14ac:dyDescent="0.25">
      <c r="B19" s="193">
        <f>EDATE(DATE(_Setup!$B$4,10,1),ROW()-ROW($B$11))</f>
        <v>46174</v>
      </c>
      <c r="C19" s="202">
        <f>Vancouver!C33</f>
        <v>37</v>
      </c>
      <c r="D19" s="202">
        <f>Vancouver!D33</f>
        <v>37</v>
      </c>
      <c r="E19" s="201">
        <f t="shared" si="0"/>
        <v>1</v>
      </c>
      <c r="F19" s="202">
        <f>Vancouver!F33</f>
        <v>0</v>
      </c>
      <c r="G19" s="202">
        <f>Vancouver!G33</f>
        <v>0</v>
      </c>
      <c r="H19" s="201" t="str">
        <f t="shared" si="1"/>
        <v/>
      </c>
      <c r="I19" s="202">
        <f>Vancouver!I33</f>
        <v>0</v>
      </c>
      <c r="J19" s="202">
        <f>Vancouver!J33</f>
        <v>0</v>
      </c>
      <c r="K19" s="202">
        <f>Vancouver!K33</f>
        <v>0</v>
      </c>
      <c r="L19" s="202">
        <f>Vancouver!L33</f>
        <v>0</v>
      </c>
      <c r="M19" s="201" t="str">
        <f t="shared" si="2"/>
        <v/>
      </c>
      <c r="N19" s="202">
        <f>Vancouver!N33</f>
        <v>0</v>
      </c>
      <c r="O19" s="202">
        <f>Vancouver!O33</f>
        <v>0</v>
      </c>
    </row>
    <row r="20" spans="2:15" x14ac:dyDescent="0.25">
      <c r="B20" s="193">
        <f>EDATE(DATE(_Setup!$B$4,10,1),ROW()-ROW($B$11))</f>
        <v>46204</v>
      </c>
      <c r="C20" s="202">
        <f>Vancouver!C34</f>
        <v>0</v>
      </c>
      <c r="D20" s="202">
        <f>Vancouver!D34</f>
        <v>0</v>
      </c>
      <c r="E20" s="201" t="str">
        <f t="shared" si="0"/>
        <v/>
      </c>
      <c r="F20" s="202">
        <f>Vancouver!F34</f>
        <v>0</v>
      </c>
      <c r="G20" s="202">
        <f>Vancouver!G34</f>
        <v>0</v>
      </c>
      <c r="H20" s="201" t="str">
        <f t="shared" si="1"/>
        <v/>
      </c>
      <c r="I20" s="202">
        <f>Vancouver!I34</f>
        <v>0</v>
      </c>
      <c r="J20" s="202">
        <f>Vancouver!J34</f>
        <v>0</v>
      </c>
      <c r="K20" s="202">
        <f>Vancouver!K34</f>
        <v>0</v>
      </c>
      <c r="L20" s="202">
        <f>Vancouver!L34</f>
        <v>0</v>
      </c>
      <c r="M20" s="201" t="str">
        <f t="shared" si="2"/>
        <v/>
      </c>
      <c r="N20" s="202">
        <f>Vancouver!N34</f>
        <v>0</v>
      </c>
      <c r="O20" s="202">
        <f>Vancouver!O34</f>
        <v>0</v>
      </c>
    </row>
    <row r="21" spans="2:15" x14ac:dyDescent="0.25">
      <c r="B21" s="193">
        <f>EDATE(DATE(_Setup!$B$4,10,1),ROW()-ROW($B$11))</f>
        <v>46235</v>
      </c>
      <c r="C21" s="202">
        <f>Vancouver!C35</f>
        <v>0</v>
      </c>
      <c r="D21" s="202">
        <f>Vancouver!D35</f>
        <v>0</v>
      </c>
      <c r="E21" s="201" t="str">
        <f t="shared" si="0"/>
        <v/>
      </c>
      <c r="F21" s="202">
        <f>Vancouver!F35</f>
        <v>0</v>
      </c>
      <c r="G21" s="202">
        <f>Vancouver!G35</f>
        <v>0</v>
      </c>
      <c r="H21" s="201" t="str">
        <f t="shared" si="1"/>
        <v/>
      </c>
      <c r="I21" s="202">
        <f>Vancouver!I35</f>
        <v>0</v>
      </c>
      <c r="J21" s="202">
        <f>Vancouver!J35</f>
        <v>0</v>
      </c>
      <c r="K21" s="202">
        <f>Vancouver!K35</f>
        <v>0</v>
      </c>
      <c r="L21" s="202">
        <f>Vancouver!L35</f>
        <v>0</v>
      </c>
      <c r="M21" s="201" t="str">
        <f t="shared" si="2"/>
        <v/>
      </c>
      <c r="N21" s="202">
        <f>Vancouver!N35</f>
        <v>0</v>
      </c>
      <c r="O21" s="202">
        <f>Vancouver!O35</f>
        <v>0</v>
      </c>
    </row>
    <row r="22" spans="2:15" x14ac:dyDescent="0.25">
      <c r="B22" s="193">
        <f>EDATE(DATE(_Setup!$B$4,10,1),ROW()-ROW($B$11))</f>
        <v>46266</v>
      </c>
      <c r="C22" s="202">
        <f>Vancouver!C36</f>
        <v>0</v>
      </c>
      <c r="D22" s="202">
        <f>Vancouver!D36</f>
        <v>0</v>
      </c>
      <c r="E22" s="201" t="str">
        <f t="shared" si="0"/>
        <v/>
      </c>
      <c r="F22" s="202">
        <f>Vancouver!F36</f>
        <v>0</v>
      </c>
      <c r="G22" s="202">
        <f>Vancouver!G36</f>
        <v>0</v>
      </c>
      <c r="H22" s="201" t="str">
        <f t="shared" si="1"/>
        <v/>
      </c>
      <c r="I22" s="202">
        <f>Vancouver!I36</f>
        <v>0</v>
      </c>
      <c r="J22" s="202">
        <f>Vancouver!J36</f>
        <v>0</v>
      </c>
      <c r="K22" s="202">
        <f>Vancouver!K36</f>
        <v>0</v>
      </c>
      <c r="L22" s="202">
        <f>Vancouver!L36</f>
        <v>0</v>
      </c>
      <c r="M22" s="201" t="str">
        <f t="shared" si="2"/>
        <v/>
      </c>
      <c r="N22" s="202">
        <f>Vancouver!N36</f>
        <v>0</v>
      </c>
      <c r="O22" s="202">
        <f>Vancouver!O36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 sqref="A1:K2"/>
    </sheetView>
  </sheetViews>
  <sheetFormatPr defaultRowHeight="15" x14ac:dyDescent="0.25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25">
      <c r="A1" s="287" t="s">
        <v>144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8" spans="1:53" x14ac:dyDescent="0.25">
      <c r="C8" s="286" t="s">
        <v>141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10" spans="1:53" ht="3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t="s">
        <v>75</v>
      </c>
      <c r="BA10" t="s">
        <v>142</v>
      </c>
    </row>
    <row r="11" spans="1:53" x14ac:dyDescent="0.25">
      <c r="B11" s="193">
        <f>EDATE(DATE(_Setup!$B$4,10,1),ROW()-ROW($B$11))</f>
        <v>45931</v>
      </c>
      <c r="C11" s="202">
        <f>Salem!C25</f>
        <v>51</v>
      </c>
      <c r="D11" s="202">
        <f>Salem!D25</f>
        <v>34</v>
      </c>
      <c r="E11" s="201">
        <f t="shared" ref="E11:E22" si="0">IFERROR(D11/C11,"")</f>
        <v>0.66666666666666663</v>
      </c>
      <c r="F11" s="202">
        <f>Salem!F25</f>
        <v>0</v>
      </c>
      <c r="G11" s="202">
        <f>Salem!G25</f>
        <v>0</v>
      </c>
      <c r="H11" s="201" t="str">
        <f t="shared" ref="H11:H22" si="1">IFERROR(G11/F11,"")</f>
        <v/>
      </c>
      <c r="I11" s="202">
        <f>Salem!I25</f>
        <v>0</v>
      </c>
      <c r="J11" s="202">
        <f>Salem!J25</f>
        <v>0</v>
      </c>
      <c r="K11" s="202">
        <f>Salem!K25</f>
        <v>473</v>
      </c>
      <c r="L11" s="202">
        <f>Salem!L25</f>
        <v>414</v>
      </c>
      <c r="M11" s="201">
        <f t="shared" ref="M11:M22" si="2">IFERROR(L11/K11,"")</f>
        <v>0.87526427061310785</v>
      </c>
      <c r="N11" s="202">
        <f>Salem!N25</f>
        <v>8</v>
      </c>
      <c r="O11" s="202">
        <f>Salem!O25</f>
        <v>0</v>
      </c>
    </row>
    <row r="12" spans="1:53" x14ac:dyDescent="0.25">
      <c r="B12" s="193">
        <f>EDATE(DATE(_Setup!$B$4,10,1),ROW()-ROW($B$11))</f>
        <v>45962</v>
      </c>
      <c r="C12" s="202">
        <f>Salem!C26</f>
        <v>54</v>
      </c>
      <c r="D12" s="202">
        <f>Salem!D26</f>
        <v>35</v>
      </c>
      <c r="E12" s="201">
        <f t="shared" si="0"/>
        <v>0.64814814814814814</v>
      </c>
      <c r="F12" s="202">
        <f>Salem!F26</f>
        <v>0</v>
      </c>
      <c r="G12" s="202">
        <f>Salem!G26</f>
        <v>0</v>
      </c>
      <c r="H12" s="201" t="str">
        <f t="shared" si="1"/>
        <v/>
      </c>
      <c r="I12" s="202">
        <f>Salem!I26</f>
        <v>0</v>
      </c>
      <c r="J12" s="202">
        <f>Salem!J26</f>
        <v>0</v>
      </c>
      <c r="K12" s="202">
        <f>Salem!K26</f>
        <v>449</v>
      </c>
      <c r="L12" s="202">
        <f>Salem!L26</f>
        <v>389</v>
      </c>
      <c r="M12" s="201">
        <f t="shared" si="2"/>
        <v>0.86636971046770606</v>
      </c>
      <c r="N12" s="202">
        <f>Salem!N26</f>
        <v>0</v>
      </c>
      <c r="O12" s="202">
        <f>Salem!O26</f>
        <v>0</v>
      </c>
    </row>
    <row r="13" spans="1:53" x14ac:dyDescent="0.25">
      <c r="B13" s="193">
        <f>EDATE(DATE(_Setup!$B$4,10,1),ROW()-ROW($B$11))</f>
        <v>45992</v>
      </c>
      <c r="C13" s="202">
        <f>Salem!C27</f>
        <v>63</v>
      </c>
      <c r="D13" s="202">
        <f>Salem!D27</f>
        <v>42</v>
      </c>
      <c r="E13" s="201">
        <f t="shared" si="0"/>
        <v>0.66666666666666663</v>
      </c>
      <c r="F13" s="202">
        <f>Salem!F27</f>
        <v>0</v>
      </c>
      <c r="G13" s="202">
        <f>Salem!G27</f>
        <v>0</v>
      </c>
      <c r="H13" s="201" t="str">
        <f t="shared" si="1"/>
        <v/>
      </c>
      <c r="I13" s="202">
        <f>Salem!I27</f>
        <v>1</v>
      </c>
      <c r="J13" s="202">
        <f>Salem!J27</f>
        <v>2</v>
      </c>
      <c r="K13" s="202">
        <f>Salem!K27</f>
        <v>510</v>
      </c>
      <c r="L13" s="202">
        <f>Salem!L27</f>
        <v>411</v>
      </c>
      <c r="M13" s="201">
        <f t="shared" si="2"/>
        <v>0.80588235294117649</v>
      </c>
      <c r="N13" s="202">
        <f>Salem!N27</f>
        <v>1</v>
      </c>
      <c r="O13" s="202">
        <f>Salem!O27</f>
        <v>0</v>
      </c>
    </row>
    <row r="14" spans="1:53" x14ac:dyDescent="0.25">
      <c r="B14" s="193">
        <f>EDATE(DATE(_Setup!$B$4,10,1),ROW()-ROW($B$11))</f>
        <v>46023</v>
      </c>
      <c r="C14" s="202">
        <f>Salem!C28</f>
        <v>42</v>
      </c>
      <c r="D14" s="202">
        <f>Salem!D28</f>
        <v>34</v>
      </c>
      <c r="E14" s="201">
        <f t="shared" si="0"/>
        <v>0.80952380952380953</v>
      </c>
      <c r="F14" s="202">
        <f>Salem!F28</f>
        <v>0</v>
      </c>
      <c r="G14" s="202">
        <f>Salem!G28</f>
        <v>0</v>
      </c>
      <c r="H14" s="201" t="str">
        <f t="shared" si="1"/>
        <v/>
      </c>
      <c r="I14" s="202">
        <f>Salem!I28</f>
        <v>1</v>
      </c>
      <c r="J14" s="202">
        <f>Salem!J28</f>
        <v>1</v>
      </c>
      <c r="K14" s="202">
        <f>Salem!K28</f>
        <v>454</v>
      </c>
      <c r="L14" s="202">
        <f>Salem!L28</f>
        <v>376</v>
      </c>
      <c r="M14" s="201">
        <f t="shared" si="2"/>
        <v>0.82819383259911894</v>
      </c>
      <c r="N14" s="202">
        <f>Salem!N28</f>
        <v>2</v>
      </c>
      <c r="O14" s="202">
        <f>Salem!O28</f>
        <v>0</v>
      </c>
    </row>
    <row r="15" spans="1:53" x14ac:dyDescent="0.25">
      <c r="B15" s="193">
        <f>EDATE(DATE(_Setup!$B$4,10,1),ROW()-ROW($B$11))</f>
        <v>46054</v>
      </c>
      <c r="C15" s="202">
        <f>Salem!C29</f>
        <v>51</v>
      </c>
      <c r="D15" s="202">
        <f>Salem!D29</f>
        <v>40</v>
      </c>
      <c r="E15" s="201">
        <f t="shared" si="0"/>
        <v>0.78431372549019607</v>
      </c>
      <c r="F15" s="202">
        <f>Salem!F29</f>
        <v>1</v>
      </c>
      <c r="G15" s="202">
        <f>Salem!G29</f>
        <v>1</v>
      </c>
      <c r="H15" s="201">
        <f t="shared" si="1"/>
        <v>1</v>
      </c>
      <c r="I15" s="202">
        <f>Salem!I29</f>
        <v>2</v>
      </c>
      <c r="J15" s="202">
        <f>Salem!J29</f>
        <v>10</v>
      </c>
      <c r="K15" s="202">
        <f>Salem!K29</f>
        <v>442</v>
      </c>
      <c r="L15" s="202">
        <f>Salem!L29</f>
        <v>367</v>
      </c>
      <c r="M15" s="201">
        <f t="shared" si="2"/>
        <v>0.83031674208144801</v>
      </c>
      <c r="N15" s="202">
        <f>Salem!N29</f>
        <v>4</v>
      </c>
      <c r="O15" s="202">
        <f>Salem!O29</f>
        <v>0</v>
      </c>
    </row>
    <row r="16" spans="1:53" x14ac:dyDescent="0.25">
      <c r="B16" s="193">
        <f>EDATE(DATE(_Setup!$B$4,10,1),ROW()-ROW($B$11))</f>
        <v>46082</v>
      </c>
      <c r="C16" s="202">
        <f>Salem!C30</f>
        <v>46</v>
      </c>
      <c r="D16" s="202">
        <f>Salem!D30</f>
        <v>38</v>
      </c>
      <c r="E16" s="201">
        <f t="shared" si="0"/>
        <v>0.82608695652173914</v>
      </c>
      <c r="F16" s="202">
        <f>Salem!F30</f>
        <v>0</v>
      </c>
      <c r="G16" s="202">
        <f>Salem!G30</f>
        <v>0</v>
      </c>
      <c r="H16" s="201" t="str">
        <f t="shared" si="1"/>
        <v/>
      </c>
      <c r="I16" s="202">
        <f>Salem!I30</f>
        <v>2</v>
      </c>
      <c r="J16" s="202">
        <f>Salem!J30</f>
        <v>13</v>
      </c>
      <c r="K16" s="202">
        <f>Salem!K30</f>
        <v>486</v>
      </c>
      <c r="L16" s="202">
        <f>Salem!L30</f>
        <v>408</v>
      </c>
      <c r="M16" s="201">
        <f t="shared" si="2"/>
        <v>0.83950617283950613</v>
      </c>
      <c r="N16" s="202">
        <f>Salem!N30</f>
        <v>0</v>
      </c>
      <c r="O16" s="202">
        <f>Salem!O30</f>
        <v>0</v>
      </c>
    </row>
    <row r="17" spans="2:15" x14ac:dyDescent="0.25">
      <c r="B17" s="193">
        <f>EDATE(DATE(_Setup!$B$4,10,1),ROW()-ROW($B$11))</f>
        <v>46113</v>
      </c>
      <c r="C17" s="202">
        <f>Salem!C31</f>
        <v>66</v>
      </c>
      <c r="D17" s="202">
        <f>Salem!D31</f>
        <v>65</v>
      </c>
      <c r="E17" s="201">
        <f t="shared" si="0"/>
        <v>0.98484848484848486</v>
      </c>
      <c r="F17" s="202">
        <f>Salem!F31</f>
        <v>0</v>
      </c>
      <c r="G17" s="202">
        <f>Salem!G31</f>
        <v>0</v>
      </c>
      <c r="H17" s="201" t="str">
        <f t="shared" si="1"/>
        <v/>
      </c>
      <c r="I17" s="202">
        <f>Salem!I31</f>
        <v>0</v>
      </c>
      <c r="J17" s="202">
        <f>Salem!J31</f>
        <v>0</v>
      </c>
      <c r="K17" s="202">
        <f>Salem!K31</f>
        <v>470</v>
      </c>
      <c r="L17" s="202">
        <f>Salem!L31</f>
        <v>390</v>
      </c>
      <c r="M17" s="201">
        <f t="shared" si="2"/>
        <v>0.82978723404255317</v>
      </c>
      <c r="N17" s="202">
        <f>Salem!N31</f>
        <v>0</v>
      </c>
      <c r="O17" s="202">
        <f>Salem!O31</f>
        <v>0</v>
      </c>
    </row>
    <row r="18" spans="2:15" x14ac:dyDescent="0.25">
      <c r="B18" s="193">
        <f>EDATE(DATE(_Setup!$B$4,10,1),ROW()-ROW($B$11))</f>
        <v>46143</v>
      </c>
      <c r="C18" s="202">
        <f>Salem!C32</f>
        <v>48</v>
      </c>
      <c r="D18" s="202">
        <f>Salem!D32</f>
        <v>48</v>
      </c>
      <c r="E18" s="201">
        <f t="shared" si="0"/>
        <v>1</v>
      </c>
      <c r="F18" s="202">
        <f>Salem!F32</f>
        <v>0</v>
      </c>
      <c r="G18" s="202">
        <f>Salem!G32</f>
        <v>0</v>
      </c>
      <c r="H18" s="201" t="str">
        <f t="shared" si="1"/>
        <v/>
      </c>
      <c r="I18" s="202">
        <f>Salem!I32</f>
        <v>1</v>
      </c>
      <c r="J18" s="202">
        <f>Salem!J32</f>
        <v>11</v>
      </c>
      <c r="K18" s="202">
        <f>Salem!K32</f>
        <v>0</v>
      </c>
      <c r="L18" s="202">
        <f>Salem!L32</f>
        <v>0</v>
      </c>
      <c r="M18" s="201" t="str">
        <f t="shared" si="2"/>
        <v/>
      </c>
      <c r="N18" s="202">
        <f>Salem!N32</f>
        <v>0</v>
      </c>
      <c r="O18" s="202">
        <f>Salem!O32</f>
        <v>0</v>
      </c>
    </row>
    <row r="19" spans="2:15" x14ac:dyDescent="0.25">
      <c r="B19" s="193">
        <f>EDATE(DATE(_Setup!$B$4,10,1),ROW()-ROW($B$11))</f>
        <v>46174</v>
      </c>
      <c r="C19" s="202">
        <f>Salem!C33</f>
        <v>31</v>
      </c>
      <c r="D19" s="202">
        <f>Salem!D33</f>
        <v>31</v>
      </c>
      <c r="E19" s="201">
        <f t="shared" si="0"/>
        <v>1</v>
      </c>
      <c r="F19" s="202">
        <f>Salem!F33</f>
        <v>0</v>
      </c>
      <c r="G19" s="202">
        <f>Salem!G33</f>
        <v>0</v>
      </c>
      <c r="H19" s="201" t="str">
        <f t="shared" si="1"/>
        <v/>
      </c>
      <c r="I19" s="202">
        <f>Salem!I33</f>
        <v>0</v>
      </c>
      <c r="J19" s="202">
        <f>Salem!J33</f>
        <v>0</v>
      </c>
      <c r="K19" s="202">
        <f>Salem!K33</f>
        <v>0</v>
      </c>
      <c r="L19" s="202">
        <f>Salem!L33</f>
        <v>0</v>
      </c>
      <c r="M19" s="201" t="str">
        <f t="shared" si="2"/>
        <v/>
      </c>
      <c r="N19" s="202">
        <f>Salem!N33</f>
        <v>0</v>
      </c>
      <c r="O19" s="202">
        <f>Salem!O33</f>
        <v>0</v>
      </c>
    </row>
    <row r="20" spans="2:15" x14ac:dyDescent="0.25">
      <c r="B20" s="193">
        <f>EDATE(DATE(_Setup!$B$4,10,1),ROW()-ROW($B$11))</f>
        <v>46204</v>
      </c>
      <c r="C20" s="202">
        <f>Salem!C34</f>
        <v>47</v>
      </c>
      <c r="D20" s="202">
        <f>Salem!D34</f>
        <v>43</v>
      </c>
      <c r="E20" s="201">
        <f t="shared" si="0"/>
        <v>0.91489361702127658</v>
      </c>
      <c r="F20" s="202">
        <f>Salem!F34</f>
        <v>0</v>
      </c>
      <c r="G20" s="202">
        <f>Salem!G34</f>
        <v>0</v>
      </c>
      <c r="H20" s="201" t="str">
        <f t="shared" si="1"/>
        <v/>
      </c>
      <c r="I20" s="202">
        <f>Salem!I34</f>
        <v>0</v>
      </c>
      <c r="J20" s="202">
        <f>Salem!J34</f>
        <v>0</v>
      </c>
      <c r="K20" s="202">
        <f>Salem!K34</f>
        <v>0</v>
      </c>
      <c r="L20" s="202">
        <f>Salem!L34</f>
        <v>0</v>
      </c>
      <c r="M20" s="201" t="str">
        <f t="shared" si="2"/>
        <v/>
      </c>
      <c r="N20" s="202">
        <f>Salem!N34</f>
        <v>0</v>
      </c>
      <c r="O20" s="202">
        <f>Salem!O34</f>
        <v>0</v>
      </c>
    </row>
    <row r="21" spans="2:15" x14ac:dyDescent="0.25">
      <c r="B21" s="193">
        <f>EDATE(DATE(_Setup!$B$4,10,1),ROW()-ROW($B$11))</f>
        <v>46235</v>
      </c>
      <c r="C21" s="202">
        <f>Salem!C35</f>
        <v>0</v>
      </c>
      <c r="D21" s="202">
        <f>Salem!D35</f>
        <v>0</v>
      </c>
      <c r="E21" s="201" t="str">
        <f t="shared" si="0"/>
        <v/>
      </c>
      <c r="F21" s="202">
        <f>Salem!F35</f>
        <v>0</v>
      </c>
      <c r="G21" s="202">
        <f>Salem!G35</f>
        <v>0</v>
      </c>
      <c r="H21" s="201" t="str">
        <f t="shared" si="1"/>
        <v/>
      </c>
      <c r="I21" s="202">
        <f>Salem!I35</f>
        <v>0</v>
      </c>
      <c r="J21" s="202">
        <f>Salem!J35</f>
        <v>0</v>
      </c>
      <c r="K21" s="202">
        <f>Salem!K35</f>
        <v>0</v>
      </c>
      <c r="L21" s="202">
        <f>Salem!L35</f>
        <v>0</v>
      </c>
      <c r="M21" s="201" t="str">
        <f t="shared" si="2"/>
        <v/>
      </c>
      <c r="N21" s="202">
        <f>Salem!N35</f>
        <v>0</v>
      </c>
      <c r="O21" s="202">
        <f>Salem!O35</f>
        <v>0</v>
      </c>
    </row>
    <row r="22" spans="2:15" x14ac:dyDescent="0.25">
      <c r="B22" s="193">
        <f>EDATE(DATE(_Setup!$B$4,10,1),ROW()-ROW($B$11))</f>
        <v>46266</v>
      </c>
      <c r="C22" s="202">
        <f>Salem!C36</f>
        <v>0</v>
      </c>
      <c r="D22" s="202">
        <f>Salem!D36</f>
        <v>0</v>
      </c>
      <c r="E22" s="201" t="str">
        <f t="shared" si="0"/>
        <v/>
      </c>
      <c r="F22" s="202">
        <f>Salem!F36</f>
        <v>0</v>
      </c>
      <c r="G22" s="202">
        <f>Salem!G36</f>
        <v>0</v>
      </c>
      <c r="H22" s="201" t="str">
        <f t="shared" si="1"/>
        <v/>
      </c>
      <c r="I22" s="202">
        <f>Salem!I36</f>
        <v>0</v>
      </c>
      <c r="J22" s="202">
        <f>Salem!J36</f>
        <v>0</v>
      </c>
      <c r="K22" s="202">
        <f>Salem!K36</f>
        <v>0</v>
      </c>
      <c r="L22" s="202">
        <f>Salem!L36</f>
        <v>0</v>
      </c>
      <c r="M22" s="201" t="str">
        <f t="shared" si="2"/>
        <v/>
      </c>
      <c r="N22" s="202">
        <f>Salem!N36</f>
        <v>0</v>
      </c>
      <c r="O22" s="202">
        <f>Salem!O36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 sqref="A1:K2"/>
    </sheetView>
  </sheetViews>
  <sheetFormatPr defaultRowHeight="15" x14ac:dyDescent="0.25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25">
      <c r="A1" s="287" t="s">
        <v>145</v>
      </c>
      <c r="B1" s="253"/>
      <c r="C1" s="253"/>
      <c r="D1" s="253"/>
      <c r="E1" s="253"/>
      <c r="F1" s="253"/>
      <c r="G1" s="253"/>
      <c r="H1" s="253"/>
      <c r="I1" s="253"/>
      <c r="J1" s="253"/>
      <c r="K1" s="253"/>
    </row>
    <row r="2" spans="1:53" x14ac:dyDescent="0.25">
      <c r="A2" s="253"/>
      <c r="B2" s="253"/>
      <c r="C2" s="253"/>
      <c r="D2" s="253"/>
      <c r="E2" s="253"/>
      <c r="F2" s="253"/>
      <c r="G2" s="253"/>
      <c r="H2" s="253"/>
      <c r="I2" s="253"/>
      <c r="J2" s="253"/>
      <c r="K2" s="253"/>
    </row>
    <row r="8" spans="1:53" x14ac:dyDescent="0.25">
      <c r="C8" s="286" t="s">
        <v>141</v>
      </c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5"/>
    </row>
    <row r="10" spans="1:53" ht="30" x14ac:dyDescent="0.25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t="s">
        <v>75</v>
      </c>
      <c r="BA10" t="s">
        <v>142</v>
      </c>
    </row>
    <row r="11" spans="1:53" x14ac:dyDescent="0.25">
      <c r="B11" s="193">
        <f>EDATE(DATE(_Setup!$B$4,10,1),ROW()-ROW($B$11))</f>
        <v>45931</v>
      </c>
      <c r="C11" s="202">
        <f>Bend!C25</f>
        <v>53</v>
      </c>
      <c r="D11" s="202">
        <f>Bend!D25</f>
        <v>15</v>
      </c>
      <c r="E11" s="201">
        <f t="shared" ref="E11:E22" si="0">IFERROR(D11/C11,"")</f>
        <v>0.28301886792452829</v>
      </c>
      <c r="F11" s="202">
        <f>Bend!F25</f>
        <v>2</v>
      </c>
      <c r="G11" s="202">
        <f>Bend!G25</f>
        <v>2</v>
      </c>
      <c r="H11" s="201">
        <f t="shared" ref="H11:H22" si="1">IFERROR(G11/F11,"")</f>
        <v>1</v>
      </c>
      <c r="I11" s="202">
        <f>Bend!I25</f>
        <v>0</v>
      </c>
      <c r="J11" s="202">
        <f>Bend!J25</f>
        <v>0</v>
      </c>
      <c r="K11" s="202">
        <f>Bend!K25</f>
        <v>339</v>
      </c>
      <c r="L11" s="202">
        <f>Bend!L25</f>
        <v>313</v>
      </c>
      <c r="M11" s="201">
        <f t="shared" ref="M11:M22" si="2">IFERROR(L11/K11,"")</f>
        <v>0.92330383480825962</v>
      </c>
      <c r="N11" s="202">
        <f>Bend!N25</f>
        <v>5</v>
      </c>
      <c r="O11" s="202">
        <f>Bend!O25</f>
        <v>0</v>
      </c>
    </row>
    <row r="12" spans="1:53" x14ac:dyDescent="0.25">
      <c r="B12" s="193">
        <f>EDATE(DATE(_Setup!$B$4,10,1),ROW()-ROW($B$11))</f>
        <v>45962</v>
      </c>
      <c r="C12" s="202">
        <f>Bend!C26</f>
        <v>28</v>
      </c>
      <c r="D12" s="202">
        <f>Bend!D26</f>
        <v>9</v>
      </c>
      <c r="E12" s="201">
        <f t="shared" si="0"/>
        <v>0.32142857142857145</v>
      </c>
      <c r="F12" s="202">
        <f>Bend!F26</f>
        <v>0</v>
      </c>
      <c r="G12" s="202">
        <f>Bend!G26</f>
        <v>0</v>
      </c>
      <c r="H12" s="201" t="str">
        <f t="shared" si="1"/>
        <v/>
      </c>
      <c r="I12" s="202">
        <f>Bend!I26</f>
        <v>1</v>
      </c>
      <c r="J12" s="202">
        <f>Bend!J26</f>
        <v>12</v>
      </c>
      <c r="K12" s="202">
        <f>Bend!K26</f>
        <v>254</v>
      </c>
      <c r="L12" s="202">
        <f>Bend!L26</f>
        <v>225</v>
      </c>
      <c r="M12" s="201">
        <f t="shared" si="2"/>
        <v>0.88582677165354329</v>
      </c>
      <c r="N12" s="202">
        <f>Bend!N26</f>
        <v>0</v>
      </c>
      <c r="O12" s="202">
        <f>Bend!O26</f>
        <v>0</v>
      </c>
    </row>
    <row r="13" spans="1:53" x14ac:dyDescent="0.25">
      <c r="B13" s="193">
        <f>EDATE(DATE(_Setup!$B$4,10,1),ROW()-ROW($B$11))</f>
        <v>45992</v>
      </c>
      <c r="C13" s="202">
        <f>Bend!C27</f>
        <v>37</v>
      </c>
      <c r="D13" s="202">
        <f>Bend!D27</f>
        <v>11</v>
      </c>
      <c r="E13" s="201">
        <f t="shared" si="0"/>
        <v>0.29729729729729731</v>
      </c>
      <c r="F13" s="202">
        <f>Bend!F27</f>
        <v>3</v>
      </c>
      <c r="G13" s="202">
        <f>Bend!G27</f>
        <v>3</v>
      </c>
      <c r="H13" s="201">
        <f t="shared" si="1"/>
        <v>1</v>
      </c>
      <c r="I13" s="202">
        <f>Bend!I27</f>
        <v>1</v>
      </c>
      <c r="J13" s="202">
        <f>Bend!J27</f>
        <v>2</v>
      </c>
      <c r="K13" s="202">
        <f>Bend!K27</f>
        <v>311</v>
      </c>
      <c r="L13" s="202">
        <f>Bend!L27</f>
        <v>283</v>
      </c>
      <c r="M13" s="201">
        <f t="shared" si="2"/>
        <v>0.909967845659164</v>
      </c>
      <c r="N13" s="202">
        <f>Bend!N27</f>
        <v>0</v>
      </c>
      <c r="O13" s="202">
        <f>Bend!O27</f>
        <v>0</v>
      </c>
    </row>
    <row r="14" spans="1:53" x14ac:dyDescent="0.25">
      <c r="B14" s="193">
        <f>EDATE(DATE(_Setup!$B$4,10,1),ROW()-ROW($B$11))</f>
        <v>46023</v>
      </c>
      <c r="C14" s="202">
        <f>Bend!C28</f>
        <v>48</v>
      </c>
      <c r="D14" s="202">
        <f>Bend!D28</f>
        <v>11</v>
      </c>
      <c r="E14" s="201">
        <f t="shared" si="0"/>
        <v>0.22916666666666666</v>
      </c>
      <c r="F14" s="202">
        <f>Bend!F28</f>
        <v>1</v>
      </c>
      <c r="G14" s="202">
        <f>Bend!G28</f>
        <v>1</v>
      </c>
      <c r="H14" s="201">
        <f t="shared" si="1"/>
        <v>1</v>
      </c>
      <c r="I14" s="202">
        <f>Bend!I28</f>
        <v>2</v>
      </c>
      <c r="J14" s="202">
        <f>Bend!J28</f>
        <v>2</v>
      </c>
      <c r="K14" s="202">
        <f>Bend!K28</f>
        <v>287</v>
      </c>
      <c r="L14" s="202">
        <f>Bend!L28</f>
        <v>255</v>
      </c>
      <c r="M14" s="201">
        <f t="shared" si="2"/>
        <v>0.88850174216027877</v>
      </c>
      <c r="N14" s="202">
        <f>Bend!N28</f>
        <v>6</v>
      </c>
      <c r="O14" s="202">
        <f>Bend!O28</f>
        <v>0</v>
      </c>
    </row>
    <row r="15" spans="1:53" x14ac:dyDescent="0.25">
      <c r="B15" s="193">
        <f>EDATE(DATE(_Setup!$B$4,10,1),ROW()-ROW($B$11))</f>
        <v>46054</v>
      </c>
      <c r="C15" s="202">
        <f>Bend!C29</f>
        <v>35</v>
      </c>
      <c r="D15" s="202">
        <f>Bend!D29</f>
        <v>18</v>
      </c>
      <c r="E15" s="201">
        <f t="shared" si="0"/>
        <v>0.51428571428571423</v>
      </c>
      <c r="F15" s="202">
        <f>Bend!F29</f>
        <v>4</v>
      </c>
      <c r="G15" s="202">
        <f>Bend!G29</f>
        <v>2</v>
      </c>
      <c r="H15" s="201">
        <f t="shared" si="1"/>
        <v>0.5</v>
      </c>
      <c r="I15" s="202">
        <f>Bend!I29</f>
        <v>1</v>
      </c>
      <c r="J15" s="202">
        <f>Bend!J29</f>
        <v>2</v>
      </c>
      <c r="K15" s="202">
        <f>Bend!K29</f>
        <v>258</v>
      </c>
      <c r="L15" s="202">
        <f>Bend!L29</f>
        <v>213</v>
      </c>
      <c r="M15" s="201">
        <f t="shared" si="2"/>
        <v>0.82558139534883723</v>
      </c>
      <c r="N15" s="202">
        <f>Bend!N29</f>
        <v>3</v>
      </c>
      <c r="O15" s="202">
        <f>Bend!O29</f>
        <v>1</v>
      </c>
    </row>
    <row r="16" spans="1:53" x14ac:dyDescent="0.25">
      <c r="B16" s="193">
        <f>EDATE(DATE(_Setup!$B$4,10,1),ROW()-ROW($B$11))</f>
        <v>46082</v>
      </c>
      <c r="C16" s="202">
        <f>Bend!C30</f>
        <v>36</v>
      </c>
      <c r="D16" s="202">
        <f>Bend!D30</f>
        <v>35</v>
      </c>
      <c r="E16" s="201">
        <f t="shared" si="0"/>
        <v>0.97222222222222221</v>
      </c>
      <c r="F16" s="202">
        <f>Bend!F30</f>
        <v>0</v>
      </c>
      <c r="G16" s="202">
        <f>Bend!G30</f>
        <v>0</v>
      </c>
      <c r="H16" s="201" t="str">
        <f t="shared" si="1"/>
        <v/>
      </c>
      <c r="I16" s="202">
        <f>Bend!I30</f>
        <v>2</v>
      </c>
      <c r="J16" s="202">
        <f>Bend!J30</f>
        <v>14</v>
      </c>
      <c r="K16" s="202">
        <f>Bend!K30</f>
        <v>217</v>
      </c>
      <c r="L16" s="202">
        <f>Bend!L30</f>
        <v>190</v>
      </c>
      <c r="M16" s="201">
        <f t="shared" si="2"/>
        <v>0.87557603686635943</v>
      </c>
      <c r="N16" s="202">
        <f>Bend!N30</f>
        <v>3</v>
      </c>
      <c r="O16" s="202">
        <f>Bend!O30</f>
        <v>0</v>
      </c>
    </row>
    <row r="17" spans="2:15" x14ac:dyDescent="0.25">
      <c r="B17" s="193">
        <f>EDATE(DATE(_Setup!$B$4,10,1),ROW()-ROW($B$11))</f>
        <v>46113</v>
      </c>
      <c r="C17" s="202">
        <f>Bend!C31</f>
        <v>54</v>
      </c>
      <c r="D17" s="202">
        <f>Bend!D31</f>
        <v>54</v>
      </c>
      <c r="E17" s="201">
        <f t="shared" si="0"/>
        <v>1</v>
      </c>
      <c r="F17" s="202">
        <f>Bend!F31</f>
        <v>0</v>
      </c>
      <c r="G17" s="202">
        <f>Bend!G31</f>
        <v>0</v>
      </c>
      <c r="H17" s="201" t="str">
        <f t="shared" si="1"/>
        <v/>
      </c>
      <c r="I17" s="202">
        <f>Bend!I31</f>
        <v>0</v>
      </c>
      <c r="J17" s="202">
        <f>Bend!J31</f>
        <v>0</v>
      </c>
      <c r="K17" s="202">
        <f>Bend!K31</f>
        <v>256</v>
      </c>
      <c r="L17" s="202">
        <f>Bend!L31</f>
        <v>212</v>
      </c>
      <c r="M17" s="201">
        <f t="shared" si="2"/>
        <v>0.828125</v>
      </c>
      <c r="N17" s="202">
        <f>Bend!N31</f>
        <v>2</v>
      </c>
      <c r="O17" s="202">
        <f>Bend!O31</f>
        <v>0</v>
      </c>
    </row>
    <row r="18" spans="2:15" x14ac:dyDescent="0.25">
      <c r="B18" s="193">
        <f>EDATE(DATE(_Setup!$B$4,10,1),ROW()-ROW($B$11))</f>
        <v>46143</v>
      </c>
      <c r="C18" s="202">
        <f>Bend!C32</f>
        <v>31</v>
      </c>
      <c r="D18" s="202">
        <f>Bend!D32</f>
        <v>31</v>
      </c>
      <c r="E18" s="201">
        <f t="shared" si="0"/>
        <v>1</v>
      </c>
      <c r="F18" s="202">
        <f>Bend!F32</f>
        <v>0</v>
      </c>
      <c r="G18" s="202">
        <f>Bend!G32</f>
        <v>0</v>
      </c>
      <c r="H18" s="201" t="str">
        <f t="shared" si="1"/>
        <v/>
      </c>
      <c r="I18" s="202">
        <f>Bend!I32</f>
        <v>0</v>
      </c>
      <c r="J18" s="202">
        <f>Bend!J32</f>
        <v>0</v>
      </c>
      <c r="K18" s="202">
        <f>Bend!K32</f>
        <v>215</v>
      </c>
      <c r="L18" s="202">
        <f>Bend!L32</f>
        <v>184</v>
      </c>
      <c r="M18" s="201">
        <f t="shared" si="2"/>
        <v>0.85581395348837208</v>
      </c>
      <c r="N18" s="202">
        <f>Bend!N32</f>
        <v>3</v>
      </c>
      <c r="O18" s="202">
        <f>Bend!O32</f>
        <v>0</v>
      </c>
    </row>
    <row r="19" spans="2:15" x14ac:dyDescent="0.25">
      <c r="B19" s="193">
        <f>EDATE(DATE(_Setup!$B$4,10,1),ROW()-ROW($B$11))</f>
        <v>46174</v>
      </c>
      <c r="C19" s="202">
        <f>Bend!C33</f>
        <v>28</v>
      </c>
      <c r="D19" s="202">
        <f>Bend!D33</f>
        <v>26</v>
      </c>
      <c r="E19" s="201">
        <f t="shared" si="0"/>
        <v>0.9285714285714286</v>
      </c>
      <c r="F19" s="202">
        <f>Bend!F33</f>
        <v>0</v>
      </c>
      <c r="G19" s="202">
        <f>Bend!G33</f>
        <v>0</v>
      </c>
      <c r="H19" s="201" t="str">
        <f t="shared" si="1"/>
        <v/>
      </c>
      <c r="I19" s="202">
        <f>Bend!I33</f>
        <v>0</v>
      </c>
      <c r="J19" s="202">
        <f>Bend!J33</f>
        <v>0</v>
      </c>
      <c r="K19" s="202">
        <f>Bend!K33</f>
        <v>0</v>
      </c>
      <c r="L19" s="202">
        <f>Bend!L33</f>
        <v>0</v>
      </c>
      <c r="M19" s="201" t="str">
        <f t="shared" si="2"/>
        <v/>
      </c>
      <c r="N19" s="202">
        <f>Bend!N33</f>
        <v>0</v>
      </c>
      <c r="O19" s="202">
        <f>Bend!O33</f>
        <v>0</v>
      </c>
    </row>
    <row r="20" spans="2:15" x14ac:dyDescent="0.25">
      <c r="B20" s="193">
        <f>EDATE(DATE(_Setup!$B$4,10,1),ROW()-ROW($B$11))</f>
        <v>46204</v>
      </c>
      <c r="C20" s="202">
        <f>Bend!C34</f>
        <v>19</v>
      </c>
      <c r="D20" s="202">
        <f>Bend!D34</f>
        <v>19</v>
      </c>
      <c r="E20" s="201">
        <f t="shared" si="0"/>
        <v>1</v>
      </c>
      <c r="F20" s="202">
        <f>Bend!F34</f>
        <v>0</v>
      </c>
      <c r="G20" s="202">
        <f>Bend!G34</f>
        <v>0</v>
      </c>
      <c r="H20" s="201" t="str">
        <f t="shared" si="1"/>
        <v/>
      </c>
      <c r="I20" s="202">
        <f>Bend!I34</f>
        <v>0</v>
      </c>
      <c r="J20" s="202">
        <f>Bend!J34</f>
        <v>0</v>
      </c>
      <c r="K20" s="202">
        <f>Bend!K34</f>
        <v>0</v>
      </c>
      <c r="L20" s="202">
        <f>Bend!L34</f>
        <v>0</v>
      </c>
      <c r="M20" s="201" t="str">
        <f t="shared" si="2"/>
        <v/>
      </c>
      <c r="N20" s="202">
        <f>Bend!N34</f>
        <v>0</v>
      </c>
      <c r="O20" s="202">
        <f>Bend!O34</f>
        <v>0</v>
      </c>
    </row>
    <row r="21" spans="2:15" x14ac:dyDescent="0.25">
      <c r="B21" s="193">
        <f>EDATE(DATE(_Setup!$B$4,10,1),ROW()-ROW($B$11))</f>
        <v>46235</v>
      </c>
      <c r="C21" s="202">
        <f>Bend!C35</f>
        <v>0</v>
      </c>
      <c r="D21" s="202">
        <f>Bend!D35</f>
        <v>0</v>
      </c>
      <c r="E21" s="201" t="str">
        <f t="shared" si="0"/>
        <v/>
      </c>
      <c r="F21" s="202">
        <f>Bend!F35</f>
        <v>0</v>
      </c>
      <c r="G21" s="202">
        <f>Bend!G35</f>
        <v>0</v>
      </c>
      <c r="H21" s="201" t="str">
        <f t="shared" si="1"/>
        <v/>
      </c>
      <c r="I21" s="202">
        <f>Bend!I35</f>
        <v>0</v>
      </c>
      <c r="J21" s="202">
        <f>Bend!J35</f>
        <v>0</v>
      </c>
      <c r="K21" s="202">
        <f>Bend!K35</f>
        <v>0</v>
      </c>
      <c r="L21" s="202">
        <f>Bend!L35</f>
        <v>0</v>
      </c>
      <c r="M21" s="201" t="str">
        <f t="shared" si="2"/>
        <v/>
      </c>
      <c r="N21" s="202">
        <f>Bend!N35</f>
        <v>0</v>
      </c>
      <c r="O21" s="202">
        <f>Bend!O35</f>
        <v>0</v>
      </c>
    </row>
    <row r="22" spans="2:15" x14ac:dyDescent="0.25">
      <c r="B22" s="193">
        <f>EDATE(DATE(_Setup!$B$4,10,1),ROW()-ROW($B$11))</f>
        <v>46266</v>
      </c>
      <c r="C22" s="202">
        <f>Bend!C36</f>
        <v>0</v>
      </c>
      <c r="D22" s="202">
        <f>Bend!D36</f>
        <v>0</v>
      </c>
      <c r="E22" s="201" t="str">
        <f t="shared" si="0"/>
        <v/>
      </c>
      <c r="F22" s="202">
        <f>Bend!F36</f>
        <v>0</v>
      </c>
      <c r="G22" s="202">
        <f>Bend!G36</f>
        <v>0</v>
      </c>
      <c r="H22" s="201" t="str">
        <f t="shared" si="1"/>
        <v/>
      </c>
      <c r="I22" s="202">
        <f>Bend!I36</f>
        <v>0</v>
      </c>
      <c r="J22" s="202">
        <f>Bend!J36</f>
        <v>0</v>
      </c>
      <c r="K22" s="202">
        <f>Bend!K36</f>
        <v>0</v>
      </c>
      <c r="L22" s="202">
        <f>Bend!L36</f>
        <v>0</v>
      </c>
      <c r="M22" s="201" t="str">
        <f t="shared" si="2"/>
        <v/>
      </c>
      <c r="N22" s="202">
        <f>Bend!N36</f>
        <v>0</v>
      </c>
      <c r="O22" s="202">
        <f>Bend!O36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Q74"/>
  <sheetViews>
    <sheetView workbookViewId="0"/>
  </sheetViews>
  <sheetFormatPr defaultRowHeight="15" x14ac:dyDescent="0.25"/>
  <cols>
    <col min="1" max="1" width="10.7109375" customWidth="1"/>
    <col min="14" max="14" width="10.7109375" customWidth="1"/>
    <col min="21" max="21" width="10.7109375" customWidth="1"/>
    <col min="26" max="26" width="10.7109375" customWidth="1"/>
  </cols>
  <sheetData>
    <row r="1" spans="1:43" ht="15" customHeight="1" x14ac:dyDescent="0.25">
      <c r="A1" s="20" t="s">
        <v>146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25">
      <c r="A2" s="20"/>
      <c r="B2" s="128"/>
      <c r="C2" s="252" t="s">
        <v>0</v>
      </c>
      <c r="D2" s="253"/>
      <c r="E2" s="253"/>
      <c r="F2" s="253"/>
      <c r="G2" s="266" t="s">
        <v>1</v>
      </c>
      <c r="H2" s="253"/>
      <c r="I2" s="253"/>
      <c r="J2" s="253"/>
      <c r="K2" s="253"/>
      <c r="L2" s="253"/>
      <c r="M2" s="269" t="s">
        <v>2</v>
      </c>
      <c r="N2" s="253"/>
      <c r="O2" s="253"/>
      <c r="P2" s="265" t="s">
        <v>3</v>
      </c>
      <c r="Q2" s="253"/>
      <c r="R2" s="129"/>
      <c r="S2" s="129"/>
      <c r="T2" s="129"/>
      <c r="U2" s="301"/>
      <c r="V2" s="253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20"/>
      <c r="B3" s="128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129"/>
      <c r="S3" s="129"/>
      <c r="T3" s="129"/>
      <c r="U3" s="253"/>
      <c r="V3" s="253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25">
      <c r="A4" s="20"/>
      <c r="B4" s="128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129"/>
      <c r="S4" s="129"/>
      <c r="T4" s="129"/>
      <c r="U4" s="253"/>
      <c r="V4" s="253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25">
      <c r="A5" s="20"/>
      <c r="B5" s="6" t="s">
        <v>11</v>
      </c>
      <c r="C5" s="7">
        <f t="shared" ref="C5:Q5" si="0">AVERAGE(C11:C22)</f>
        <v>49</v>
      </c>
      <c r="D5" s="7">
        <f t="shared" si="0"/>
        <v>42.833333333333336</v>
      </c>
      <c r="E5" s="131">
        <f t="shared" si="0"/>
        <v>0.83967861669686084</v>
      </c>
      <c r="F5" s="16">
        <f t="shared" si="0"/>
        <v>0.33333333333333331</v>
      </c>
      <c r="G5" s="132">
        <f t="shared" si="0"/>
        <v>0.33333333333333331</v>
      </c>
      <c r="H5" s="133">
        <f t="shared" si="0"/>
        <v>1</v>
      </c>
      <c r="I5" s="9">
        <f t="shared" si="0"/>
        <v>0</v>
      </c>
      <c r="J5" s="134">
        <f t="shared" si="0"/>
        <v>1.25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5</v>
      </c>
      <c r="Q5" s="136">
        <f t="shared" si="0"/>
        <v>0</v>
      </c>
      <c r="R5" s="306" t="s">
        <v>12</v>
      </c>
      <c r="S5" s="303"/>
      <c r="T5" s="304">
        <f>AVERAGE(T11:T12)</f>
        <v>0</v>
      </c>
      <c r="U5" s="137"/>
      <c r="V5" s="304">
        <f>AVERAGE(V11:V12)</f>
        <v>1.375</v>
      </c>
      <c r="W5" s="130"/>
      <c r="X5" s="304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25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7"/>
      <c r="S6" s="303"/>
      <c r="T6" s="305"/>
      <c r="U6" s="137"/>
      <c r="V6" s="305"/>
      <c r="W6" s="130"/>
      <c r="X6" s="305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25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2" t="s">
        <v>14</v>
      </c>
      <c r="S7" s="30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25">
      <c r="A8" s="20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5" t="s">
        <v>21</v>
      </c>
      <c r="L8" s="255" t="s">
        <v>22</v>
      </c>
      <c r="M8" s="257" t="s">
        <v>23</v>
      </c>
      <c r="N8" s="263" t="s">
        <v>24</v>
      </c>
      <c r="O8" s="271" t="s">
        <v>25</v>
      </c>
      <c r="P8" s="264" t="s">
        <v>26</v>
      </c>
      <c r="Q8" s="270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8" t="s">
        <v>147</v>
      </c>
      <c r="X8" s="253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25">
      <c r="A9" s="20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147"/>
      <c r="W9" s="253"/>
      <c r="X9" s="253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25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3"/>
      <c r="X10" s="253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25">
      <c r="A11" s="20"/>
      <c r="B11" s="62">
        <f>EDATE(DATE(_Setup!$B$4,10,1),ROW()-ROW($B$11))</f>
        <v>45931</v>
      </c>
      <c r="C11" s="63">
        <f>IF(_Ov_Ophthalmology!C11&lt;&gt;"",_Ov_Ophthalmology!C11,SUM(Portland!C11))</f>
        <v>60</v>
      </c>
      <c r="D11" s="64">
        <f>IF(_Ov_Ophthalmology!D11&lt;&gt;"",_Ov_Ophthalmology!D11,SUM(Portland!D11))</f>
        <v>47</v>
      </c>
      <c r="E11" s="65">
        <f t="shared" ref="E11:E22" si="1">IFERROR(D11/C11,"")</f>
        <v>0.78333333333333333</v>
      </c>
      <c r="F11" s="66">
        <f>IF(_Ov_Ophthalmology!F11&lt;&gt;"",_Ov_Ophthalmology!F11,SUM(Portland!F11))</f>
        <v>0</v>
      </c>
      <c r="G11" s="67">
        <f>IF(_Ov_Ophthalmology!G11&lt;&gt;"",_Ov_Ophthalmology!G11,SUM(Portland!G11))</f>
        <v>0</v>
      </c>
      <c r="H11" s="150" t="str">
        <f t="shared" ref="H11:H22" si="2">IFERROR(G11/F11,"")</f>
        <v/>
      </c>
      <c r="I11" s="151">
        <f>IF(_Ov_Ophthalmology!I11&lt;&gt;"",_Ov_Ophthalmology!I11,SUM(Portland!I11))</f>
        <v>0</v>
      </c>
      <c r="J11" s="151">
        <f>IF(_Ov_Ophthalmology!J11&lt;&gt;"",_Ov_Ophthalmology!J11,SUM(Portland!J11))</f>
        <v>0</v>
      </c>
      <c r="K11" s="151" t="str">
        <f>IF(_Ov_Ophthalmology!K11&lt;&gt;"",_Ov_Ophthalmology!K11,IFERROR(Portland!BA11/Portland!AZ11,""))</f>
        <v/>
      </c>
      <c r="L11" s="73">
        <f>IF(_Ov_Ophthalmology!L11&lt;&gt;"",_Ov_Ophthalmology!L11,SUM(Portland!L11))</f>
        <v>0</v>
      </c>
      <c r="M11" s="71">
        <f>IF(_Ov_Ophthalmology!M11&lt;&gt;"",_Ov_Ophthalmology!M11,SUM(Portland!M11))</f>
        <v>0</v>
      </c>
      <c r="N11" s="71">
        <f>IF(_Ov_Ophthalmology!N11&lt;&gt;"",_Ov_Ophthalmology!N11,SUM(Portland!N11))</f>
        <v>0</v>
      </c>
      <c r="O11" s="73">
        <f>IF(_Ov_Ophthalmology!O11&lt;&gt;"",_Ov_Ophthalmology!O11,SUM(Portland!O11))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3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25">
      <c r="A12" s="20"/>
      <c r="B12" s="62">
        <f>EDATE(DATE(_Setup!$B$4,10,1),ROW()-ROW($B$11))</f>
        <v>45962</v>
      </c>
      <c r="C12" s="81">
        <f>IF(_Ov_Ophthalmology!C12&lt;&gt;"",_Ov_Ophthalmology!C12,SUM(Portland!C12))</f>
        <v>27</v>
      </c>
      <c r="D12" s="82">
        <f>IF(_Ov_Ophthalmology!D12&lt;&gt;"",_Ov_Ophthalmology!D12,SUM(Portland!D12))</f>
        <v>18</v>
      </c>
      <c r="E12" s="83">
        <f t="shared" si="1"/>
        <v>0.66666666666666663</v>
      </c>
      <c r="F12" s="84">
        <f>IF(_Ov_Ophthalmology!F12&lt;&gt;"",_Ov_Ophthalmology!F12,SUM(Portland!F12))</f>
        <v>0</v>
      </c>
      <c r="G12" s="85">
        <f>IF(_Ov_Ophthalmology!G12&lt;&gt;"",_Ov_Ophthalmology!G12,SUM(Portland!G12))</f>
        <v>0</v>
      </c>
      <c r="H12" s="157" t="str">
        <f t="shared" si="2"/>
        <v/>
      </c>
      <c r="I12" s="154">
        <f>IF(_Ov_Ophthalmology!I12&lt;&gt;"",_Ov_Ophthalmology!I12,SUM(Portland!I12))</f>
        <v>0</v>
      </c>
      <c r="J12" s="154">
        <f>IF(_Ov_Ophthalmology!J12&lt;&gt;"",_Ov_Ophthalmology!J12,SUM(Portland!J12))</f>
        <v>0</v>
      </c>
      <c r="K12" s="154" t="str">
        <f>IF(_Ov_Ophthalmology!K12&lt;&gt;"",_Ov_Ophthalmology!K12,IFERROR(Portland!BA12/Portland!AZ12,""))</f>
        <v/>
      </c>
      <c r="L12" s="91">
        <f>IF(_Ov_Ophthalmology!L12&lt;&gt;"",_Ov_Ophthalmology!L12,SUM(Portland!L12))</f>
        <v>0</v>
      </c>
      <c r="M12" s="89">
        <f>IF(_Ov_Ophthalmology!M12&lt;&gt;"",_Ov_Ophthalmology!M12,SUM(Portland!M12))</f>
        <v>0</v>
      </c>
      <c r="N12" s="89">
        <f>IF(_Ov_Ophthalmology!N12&lt;&gt;"",_Ov_Ophthalmology!N12,SUM(Portland!N12))</f>
        <v>0</v>
      </c>
      <c r="O12" s="91">
        <f>IF(_Ov_Ophthalmology!O12&lt;&gt;"",_Ov_Ophthalmology!O12,SUM(Portland!O12))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3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25">
      <c r="A13" s="20"/>
      <c r="B13" s="62">
        <f>EDATE(DATE(_Setup!$B$4,10,1),ROW()-ROW($B$11))</f>
        <v>45992</v>
      </c>
      <c r="C13" s="81">
        <f>IF(_Ov_Ophthalmology!C13&lt;&gt;"",_Ov_Ophthalmology!C13,SUM(Portland!C13))</f>
        <v>48</v>
      </c>
      <c r="D13" s="82">
        <f>IF(_Ov_Ophthalmology!D13&lt;&gt;"",_Ov_Ophthalmology!D13,SUM(Portland!D13))</f>
        <v>35</v>
      </c>
      <c r="E13" s="83">
        <f t="shared" si="1"/>
        <v>0.72916666666666663</v>
      </c>
      <c r="F13" s="84">
        <f>IF(_Ov_Ophthalmology!F13&lt;&gt;"",_Ov_Ophthalmology!F13,SUM(Portland!F13))</f>
        <v>0</v>
      </c>
      <c r="G13" s="85">
        <f>IF(_Ov_Ophthalmology!G13&lt;&gt;"",_Ov_Ophthalmology!G13,SUM(Portland!G13))</f>
        <v>0</v>
      </c>
      <c r="H13" s="157" t="str">
        <f t="shared" si="2"/>
        <v/>
      </c>
      <c r="I13" s="154">
        <f>IF(_Ov_Ophthalmology!I13&lt;&gt;"",_Ov_Ophthalmology!I13,SUM(Portland!I13))</f>
        <v>0</v>
      </c>
      <c r="J13" s="154">
        <f>IF(_Ov_Ophthalmology!J13&lt;&gt;"",_Ov_Ophthalmology!J13,SUM(Portland!J13))</f>
        <v>0</v>
      </c>
      <c r="K13" s="154" t="str">
        <f>IF(_Ov_Ophthalmology!K13&lt;&gt;"",_Ov_Ophthalmology!K13,IFERROR(Portland!BA13/Portland!AZ13,""))</f>
        <v/>
      </c>
      <c r="L13" s="91">
        <f>IF(_Ov_Ophthalmology!L13&lt;&gt;"",_Ov_Ophthalmology!L13,SUM(Portland!L13))</f>
        <v>0</v>
      </c>
      <c r="M13" s="89">
        <f>IF(_Ov_Ophthalmology!M13&lt;&gt;"",_Ov_Ophthalmology!M13,SUM(Portland!M13))</f>
        <v>0</v>
      </c>
      <c r="N13" s="89">
        <f>IF(_Ov_Ophthalmology!N13&lt;&gt;"",_Ov_Ophthalmology!N13,SUM(Portland!N13))</f>
        <v>0</v>
      </c>
      <c r="O13" s="91">
        <f>IF(_Ov_Ophthalmology!O13&lt;&gt;"",_Ov_Ophthalmology!O13,SUM(Portland!O13))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3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25">
      <c r="A14" s="20"/>
      <c r="B14" s="62">
        <f>EDATE(DATE(_Setup!$B$4,10,1),ROW()-ROW($B$11))</f>
        <v>46023</v>
      </c>
      <c r="C14" s="81">
        <f>IF(_Ov_Ophthalmology!C14&lt;&gt;"",_Ov_Ophthalmology!C14,SUM(Portland!C14))</f>
        <v>56</v>
      </c>
      <c r="D14" s="82">
        <f>IF(_Ov_Ophthalmology!D14&lt;&gt;"",_Ov_Ophthalmology!D14,SUM(Portland!D14))</f>
        <v>40</v>
      </c>
      <c r="E14" s="83">
        <f t="shared" si="1"/>
        <v>0.7142857142857143</v>
      </c>
      <c r="F14" s="84">
        <f>IF(_Ov_Ophthalmology!F14&lt;&gt;"",_Ov_Ophthalmology!F14,SUM(Portland!F14))</f>
        <v>0</v>
      </c>
      <c r="G14" s="85">
        <f>IF(_Ov_Ophthalmology!G14&lt;&gt;"",_Ov_Ophthalmology!G14,SUM(Portland!G14))</f>
        <v>0</v>
      </c>
      <c r="H14" s="157" t="str">
        <f t="shared" si="2"/>
        <v/>
      </c>
      <c r="I14" s="154">
        <f>IF(_Ov_Ophthalmology!I14&lt;&gt;"",_Ov_Ophthalmology!I14,SUM(Portland!I14))</f>
        <v>0</v>
      </c>
      <c r="J14" s="154">
        <f>IF(_Ov_Ophthalmology!J14&lt;&gt;"",_Ov_Ophthalmology!J14,SUM(Portland!J14))</f>
        <v>0</v>
      </c>
      <c r="K14" s="154" t="str">
        <f>IF(_Ov_Ophthalmology!K14&lt;&gt;"",_Ov_Ophthalmology!K14,IFERROR(Portland!BA14/Portland!AZ14,""))</f>
        <v/>
      </c>
      <c r="L14" s="91">
        <f>IF(_Ov_Ophthalmology!L14&lt;&gt;"",_Ov_Ophthalmology!L14,SUM(Portland!L14))</f>
        <v>0</v>
      </c>
      <c r="M14" s="89">
        <f>IF(_Ov_Ophthalmology!M14&lt;&gt;"",_Ov_Ophthalmology!M14,SUM(Portland!M14))</f>
        <v>0</v>
      </c>
      <c r="N14" s="89">
        <f>IF(_Ov_Ophthalmology!N14&lt;&gt;"",_Ov_Ophthalmology!N14,SUM(Portland!N14))</f>
        <v>0</v>
      </c>
      <c r="O14" s="91">
        <f>IF(_Ov_Ophthalmology!O14&lt;&gt;"",_Ov_Ophthalmology!O14,SUM(Portland!O14))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3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25">
      <c r="A15" s="20"/>
      <c r="B15" s="62">
        <f>EDATE(DATE(_Setup!$B$4,10,1),ROW()-ROW($B$11))</f>
        <v>46054</v>
      </c>
      <c r="C15" s="81">
        <f>IF(_Ov_Ophthalmology!C15&lt;&gt;"",_Ov_Ophthalmology!C15,SUM(Portland!C15))</f>
        <v>51</v>
      </c>
      <c r="D15" s="82">
        <f>IF(_Ov_Ophthalmology!D15&lt;&gt;"",_Ov_Ophthalmology!D15,SUM(Portland!D15))</f>
        <v>44</v>
      </c>
      <c r="E15" s="83">
        <f t="shared" si="1"/>
        <v>0.86274509803921573</v>
      </c>
      <c r="F15" s="84">
        <f>IF(_Ov_Ophthalmology!F15&lt;&gt;"",_Ov_Ophthalmology!F15,SUM(Portland!F15))</f>
        <v>2</v>
      </c>
      <c r="G15" s="85">
        <f>IF(_Ov_Ophthalmology!G15&lt;&gt;"",_Ov_Ophthalmology!G15,SUM(Portland!G15))</f>
        <v>2</v>
      </c>
      <c r="H15" s="157">
        <f t="shared" si="2"/>
        <v>1</v>
      </c>
      <c r="I15" s="154">
        <f>IF(_Ov_Ophthalmology!I15&lt;&gt;"",_Ov_Ophthalmology!I15,SUM(Portland!I15))</f>
        <v>0</v>
      </c>
      <c r="J15" s="154">
        <f>IF(_Ov_Ophthalmology!J15&lt;&gt;"",_Ov_Ophthalmology!J15,SUM(Portland!J15))</f>
        <v>0</v>
      </c>
      <c r="K15" s="154" t="str">
        <f>IF(_Ov_Ophthalmology!K15&lt;&gt;"",_Ov_Ophthalmology!K15,IFERROR(Portland!BA15/Portland!AZ15,""))</f>
        <v/>
      </c>
      <c r="L15" s="91">
        <f>IF(_Ov_Ophthalmology!L15&lt;&gt;"",_Ov_Ophthalmology!L15,SUM(Portland!L15))</f>
        <v>0</v>
      </c>
      <c r="M15" s="89">
        <f>IF(_Ov_Ophthalmology!M15&lt;&gt;"",_Ov_Ophthalmology!M15,SUM(Portland!M15))</f>
        <v>0</v>
      </c>
      <c r="N15" s="89">
        <f>IF(_Ov_Ophthalmology!N15&lt;&gt;"",_Ov_Ophthalmology!N15,SUM(Portland!N15))</f>
        <v>0</v>
      </c>
      <c r="O15" s="91">
        <f>IF(_Ov_Ophthalmology!O15&lt;&gt;"",_Ov_Ophthalmology!O15,SUM(Portland!O15))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3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25">
      <c r="A16" s="20"/>
      <c r="B16" s="62">
        <f>EDATE(DATE(_Setup!$B$4,10,1),ROW()-ROW($B$11))</f>
        <v>46082</v>
      </c>
      <c r="C16" s="81">
        <f>IF(_Ov_Ophthalmology!C16&lt;&gt;"",_Ov_Ophthalmology!C16,SUM(Portland!C16))</f>
        <v>69</v>
      </c>
      <c r="D16" s="82">
        <f>IF(_Ov_Ophthalmology!D16&lt;&gt;"",_Ov_Ophthalmology!D16,SUM(Portland!D16))</f>
        <v>62</v>
      </c>
      <c r="E16" s="83">
        <f t="shared" si="1"/>
        <v>0.89855072463768115</v>
      </c>
      <c r="F16" s="84">
        <f>IF(_Ov_Ophthalmology!F16&lt;&gt;"",_Ov_Ophthalmology!F16,SUM(Portland!F16))</f>
        <v>0</v>
      </c>
      <c r="G16" s="85">
        <f>IF(_Ov_Ophthalmology!G16&lt;&gt;"",_Ov_Ophthalmology!G16,SUM(Portland!G16))</f>
        <v>0</v>
      </c>
      <c r="H16" s="157" t="str">
        <f t="shared" si="2"/>
        <v/>
      </c>
      <c r="I16" s="154">
        <f>IF(_Ov_Ophthalmology!I16&lt;&gt;"",_Ov_Ophthalmology!I16,SUM(Portland!I16))</f>
        <v>0</v>
      </c>
      <c r="J16" s="154">
        <f>IF(_Ov_Ophthalmology!J16&lt;&gt;"",_Ov_Ophthalmology!J16,SUM(Portland!J16))</f>
        <v>0</v>
      </c>
      <c r="K16" s="154" t="str">
        <f>IF(_Ov_Ophthalmology!K16&lt;&gt;"",_Ov_Ophthalmology!K16,IFERROR(Portland!BA16/Portland!AZ16,""))</f>
        <v/>
      </c>
      <c r="L16" s="91">
        <f>IF(_Ov_Ophthalmology!L16&lt;&gt;"",_Ov_Ophthalmology!L16,SUM(Portland!L16))</f>
        <v>0</v>
      </c>
      <c r="M16" s="89">
        <f>IF(_Ov_Ophthalmology!M16&lt;&gt;"",_Ov_Ophthalmology!M16,SUM(Portland!M16))</f>
        <v>0</v>
      </c>
      <c r="N16" s="89">
        <f>IF(_Ov_Ophthalmology!N16&lt;&gt;"",_Ov_Ophthalmology!N16,SUM(Portland!N16))</f>
        <v>0</v>
      </c>
      <c r="O16" s="91">
        <f>IF(_Ov_Ophthalmology!O16&lt;&gt;"",_Ov_Ophthalmology!O16,SUM(Portland!O16))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3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25">
      <c r="A17" s="20"/>
      <c r="B17" s="62">
        <f>EDATE(DATE(_Setup!$B$4,10,1),ROW()-ROW($B$11))</f>
        <v>46113</v>
      </c>
      <c r="C17" s="81">
        <f>IF(_Ov_Ophthalmology!C17&lt;&gt;"",_Ov_Ophthalmology!C17,SUM(Portland!C17))</f>
        <v>87</v>
      </c>
      <c r="D17" s="82">
        <f>IF(_Ov_Ophthalmology!D17&lt;&gt;"",_Ov_Ophthalmology!D17,SUM(Portland!D17))</f>
        <v>84</v>
      </c>
      <c r="E17" s="83">
        <f t="shared" si="1"/>
        <v>0.96551724137931039</v>
      </c>
      <c r="F17" s="84">
        <f>IF(_Ov_Ophthalmology!F17&lt;&gt;"",_Ov_Ophthalmology!F17,SUM(Portland!F17))</f>
        <v>0</v>
      </c>
      <c r="G17" s="85">
        <f>IF(_Ov_Ophthalmology!G17&lt;&gt;"",_Ov_Ophthalmology!G17,SUM(Portland!G17))</f>
        <v>0</v>
      </c>
      <c r="H17" s="157" t="str">
        <f t="shared" si="2"/>
        <v/>
      </c>
      <c r="I17" s="154">
        <f>IF(_Ov_Ophthalmology!I17&lt;&gt;"",_Ov_Ophthalmology!I17,SUM(Portland!I17))</f>
        <v>0</v>
      </c>
      <c r="J17" s="154">
        <f>IF(_Ov_Ophthalmology!J17&lt;&gt;"",_Ov_Ophthalmology!J17,SUM(Portland!J17))</f>
        <v>0</v>
      </c>
      <c r="K17" s="154" t="str">
        <f>IF(_Ov_Ophthalmology!K17&lt;&gt;"",_Ov_Ophthalmology!K17,IFERROR(Portland!BA17/Portland!AZ17,""))</f>
        <v/>
      </c>
      <c r="L17" s="91">
        <f>IF(_Ov_Ophthalmology!L17&lt;&gt;"",_Ov_Ophthalmology!L17,SUM(Portland!L17))</f>
        <v>0</v>
      </c>
      <c r="M17" s="89">
        <f>IF(_Ov_Ophthalmology!M17&lt;&gt;"",_Ov_Ophthalmology!M17,SUM(Portland!M17))</f>
        <v>0</v>
      </c>
      <c r="N17" s="89">
        <f>IF(_Ov_Ophthalmology!N17&lt;&gt;"",_Ov_Ophthalmology!N17,SUM(Portland!N17))</f>
        <v>0</v>
      </c>
      <c r="O17" s="91">
        <f>IF(_Ov_Ophthalmology!O17&lt;&gt;"",_Ov_Ophthalmology!O17,SUM(Portland!O17))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3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25">
      <c r="A18" s="20"/>
      <c r="B18" s="62">
        <f>EDATE(DATE(_Setup!$B$4,10,1),ROW()-ROW($B$11))</f>
        <v>46143</v>
      </c>
      <c r="C18" s="81">
        <f>IF(_Ov_Ophthalmology!C18&lt;&gt;"",_Ov_Ophthalmology!C18,SUM(Portland!C18))</f>
        <v>95</v>
      </c>
      <c r="D18" s="82">
        <f>IF(_Ov_Ophthalmology!D18&lt;&gt;"",_Ov_Ophthalmology!D18,SUM(Portland!D18))</f>
        <v>92</v>
      </c>
      <c r="E18" s="83">
        <f t="shared" si="1"/>
        <v>0.96842105263157896</v>
      </c>
      <c r="F18" s="84">
        <f>IF(_Ov_Ophthalmology!F18&lt;&gt;"",_Ov_Ophthalmology!F18,SUM(Portland!F18))</f>
        <v>0</v>
      </c>
      <c r="G18" s="85">
        <f>IF(_Ov_Ophthalmology!G18&lt;&gt;"",_Ov_Ophthalmology!G18,SUM(Portland!G18))</f>
        <v>0</v>
      </c>
      <c r="H18" s="157" t="str">
        <f t="shared" si="2"/>
        <v/>
      </c>
      <c r="I18" s="154">
        <f>IF(_Ov_Ophthalmology!I18&lt;&gt;"",_Ov_Ophthalmology!I18,SUM(Portland!I18))</f>
        <v>0</v>
      </c>
      <c r="J18" s="154">
        <f>IF(_Ov_Ophthalmology!J18&lt;&gt;"",_Ov_Ophthalmology!J18,SUM(Portland!J18))</f>
        <v>15</v>
      </c>
      <c r="K18" s="154" t="str">
        <f>IF(_Ov_Ophthalmology!K18&lt;&gt;"",_Ov_Ophthalmology!K18,IFERROR(Portland!BA18/Portland!AZ18,""))</f>
        <v/>
      </c>
      <c r="L18" s="91">
        <f>IF(_Ov_Ophthalmology!L18&lt;&gt;"",_Ov_Ophthalmology!L18,SUM(Portland!L18))</f>
        <v>0</v>
      </c>
      <c r="M18" s="89">
        <f>IF(_Ov_Ophthalmology!M18&lt;&gt;"",_Ov_Ophthalmology!M18,SUM(Portland!M18))</f>
        <v>0</v>
      </c>
      <c r="N18" s="89">
        <f>IF(_Ov_Ophthalmology!N18&lt;&gt;"",_Ov_Ophthalmology!N18,SUM(Portland!N18))</f>
        <v>0</v>
      </c>
      <c r="O18" s="91">
        <f>IF(_Ov_Ophthalmology!O18&lt;&gt;"",_Ov_Ophthalmology!O18,SUM(Portland!O18))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3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25">
      <c r="A19" s="20"/>
      <c r="B19" s="62">
        <f>EDATE(DATE(_Setup!$B$4,10,1),ROW()-ROW($B$11))</f>
        <v>46174</v>
      </c>
      <c r="C19" s="81">
        <f>IF(_Ov_Ophthalmology!C19&lt;&gt;"",_Ov_Ophthalmology!C19,SUM(Portland!C19))</f>
        <v>95</v>
      </c>
      <c r="D19" s="82">
        <f>IF(_Ov_Ophthalmology!D19&lt;&gt;"",_Ov_Ophthalmology!D19,SUM(Portland!D19))</f>
        <v>92</v>
      </c>
      <c r="E19" s="83">
        <f t="shared" si="1"/>
        <v>0.96842105263157896</v>
      </c>
      <c r="F19" s="84">
        <f>IF(_Ov_Ophthalmology!F19&lt;&gt;"",_Ov_Ophthalmology!F19,SUM(Portland!F19))</f>
        <v>2</v>
      </c>
      <c r="G19" s="85">
        <f>IF(_Ov_Ophthalmology!G19&lt;&gt;"",_Ov_Ophthalmology!G19,SUM(Portland!G19))</f>
        <v>2</v>
      </c>
      <c r="H19" s="157">
        <f t="shared" si="2"/>
        <v>1</v>
      </c>
      <c r="I19" s="154">
        <f>IF(_Ov_Ophthalmology!I19&lt;&gt;"",_Ov_Ophthalmology!I19,SUM(Portland!I19))</f>
        <v>0</v>
      </c>
      <c r="J19" s="154">
        <f>IF(_Ov_Ophthalmology!J19&lt;&gt;"",_Ov_Ophthalmology!J19,SUM(Portland!J19))</f>
        <v>0</v>
      </c>
      <c r="K19" s="154" t="str">
        <f>IF(_Ov_Ophthalmology!K19&lt;&gt;"",_Ov_Ophthalmology!K19,IFERROR(Portland!BA19/Portland!AZ19,""))</f>
        <v/>
      </c>
      <c r="L19" s="91">
        <f>IF(_Ov_Ophthalmology!L19&lt;&gt;"",_Ov_Ophthalmology!L19,SUM(Portland!L19))</f>
        <v>0</v>
      </c>
      <c r="M19" s="89">
        <f>IF(_Ov_Ophthalmology!M19&lt;&gt;"",_Ov_Ophthalmology!M19,SUM(Portland!M19))</f>
        <v>0</v>
      </c>
      <c r="N19" s="89">
        <f>IF(_Ov_Ophthalmology!N19&lt;&gt;"",_Ov_Ophthalmology!N19,SUM(Portland!N19))</f>
        <v>0</v>
      </c>
      <c r="O19" s="91">
        <f>IF(_Ov_Ophthalmology!O19&lt;&gt;"",_Ov_Ophthalmology!O19,SUM(Portland!O19))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3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25">
      <c r="A20" s="20"/>
      <c r="B20" s="62">
        <f>EDATE(DATE(_Setup!$B$4,10,1),ROW()-ROW($B$11))</f>
        <v>46204</v>
      </c>
      <c r="C20" s="81">
        <f>IF(_Ov_Ophthalmology!C20&lt;&gt;"",_Ov_Ophthalmology!C20,SUM(Portland!C20))</f>
        <v>0</v>
      </c>
      <c r="D20" s="82">
        <f>IF(_Ov_Ophthalmology!D20&lt;&gt;"",_Ov_Ophthalmology!D20,SUM(Portland!D20))</f>
        <v>0</v>
      </c>
      <c r="E20" s="83" t="str">
        <f t="shared" si="1"/>
        <v/>
      </c>
      <c r="F20" s="84">
        <f>IF(_Ov_Ophthalmology!F20&lt;&gt;"",_Ov_Ophthalmology!F20,SUM(Portland!F20))</f>
        <v>0</v>
      </c>
      <c r="G20" s="85">
        <f>IF(_Ov_Ophthalmology!G20&lt;&gt;"",_Ov_Ophthalmology!G20,SUM(Portland!G20))</f>
        <v>0</v>
      </c>
      <c r="H20" s="157" t="str">
        <f t="shared" si="2"/>
        <v/>
      </c>
      <c r="I20" s="154">
        <f>IF(_Ov_Ophthalmology!I20&lt;&gt;"",_Ov_Ophthalmology!I20,SUM(Portland!I20))</f>
        <v>0</v>
      </c>
      <c r="J20" s="154">
        <f>IF(_Ov_Ophthalmology!J20&lt;&gt;"",_Ov_Ophthalmology!J20,SUM(Portland!J20))</f>
        <v>0</v>
      </c>
      <c r="K20" s="154" t="str">
        <f>IF(_Ov_Ophthalmology!K20&lt;&gt;"",_Ov_Ophthalmology!K20,IFERROR(Portland!BA20/Portland!AZ20,""))</f>
        <v/>
      </c>
      <c r="L20" s="91">
        <f>IF(_Ov_Ophthalmology!L20&lt;&gt;"",_Ov_Ophthalmology!L20,SUM(Portland!L20))</f>
        <v>0</v>
      </c>
      <c r="M20" s="89">
        <f>IF(_Ov_Ophthalmology!M20&lt;&gt;"",_Ov_Ophthalmology!M20,SUM(Portland!M20))</f>
        <v>0</v>
      </c>
      <c r="N20" s="89">
        <f>IF(_Ov_Ophthalmology!N20&lt;&gt;"",_Ov_Ophthalmology!N20,SUM(Portland!N20))</f>
        <v>0</v>
      </c>
      <c r="O20" s="91">
        <f>IF(_Ov_Ophthalmology!O20&lt;&gt;"",_Ov_Ophthalmology!O20,SUM(Portland!O20))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25">
      <c r="A21" s="20"/>
      <c r="B21" s="62">
        <f>EDATE(DATE(_Setup!$B$4,10,1),ROW()-ROW($B$11))</f>
        <v>46235</v>
      </c>
      <c r="C21" s="81">
        <f>IF(_Ov_Ophthalmology!C21&lt;&gt;"",_Ov_Ophthalmology!C21,SUM(Portland!C21))</f>
        <v>0</v>
      </c>
      <c r="D21" s="82">
        <f>IF(_Ov_Ophthalmology!D21&lt;&gt;"",_Ov_Ophthalmology!D21,SUM(Portland!D21))</f>
        <v>0</v>
      </c>
      <c r="E21" s="83" t="str">
        <f t="shared" si="1"/>
        <v/>
      </c>
      <c r="F21" s="84">
        <f>IF(_Ov_Ophthalmology!F21&lt;&gt;"",_Ov_Ophthalmology!F21,SUM(Portland!F21))</f>
        <v>0</v>
      </c>
      <c r="G21" s="85">
        <f>IF(_Ov_Ophthalmology!G21&lt;&gt;"",_Ov_Ophthalmology!G21,SUM(Portland!G21))</f>
        <v>0</v>
      </c>
      <c r="H21" s="157" t="str">
        <f t="shared" si="2"/>
        <v/>
      </c>
      <c r="I21" s="154">
        <f>IF(_Ov_Ophthalmology!I21&lt;&gt;"",_Ov_Ophthalmology!I21,SUM(Portland!I21))</f>
        <v>0</v>
      </c>
      <c r="J21" s="154">
        <f>IF(_Ov_Ophthalmology!J21&lt;&gt;"",_Ov_Ophthalmology!J21,SUM(Portland!J21))</f>
        <v>0</v>
      </c>
      <c r="K21" s="154" t="str">
        <f>IF(_Ov_Ophthalmology!K21&lt;&gt;"",_Ov_Ophthalmology!K21,IFERROR(Portland!BA21/Portland!AZ21,""))</f>
        <v/>
      </c>
      <c r="L21" s="91">
        <f>IF(_Ov_Ophthalmology!L21&lt;&gt;"",_Ov_Ophthalmology!L21,SUM(Portland!L21))</f>
        <v>0</v>
      </c>
      <c r="M21" s="89">
        <f>IF(_Ov_Ophthalmology!M21&lt;&gt;"",_Ov_Ophthalmology!M21,SUM(Portland!M21))</f>
        <v>0</v>
      </c>
      <c r="N21" s="89">
        <f>IF(_Ov_Ophthalmology!N21&lt;&gt;"",_Ov_Ophthalmology!N21,SUM(Portland!N21))</f>
        <v>0</v>
      </c>
      <c r="O21" s="91">
        <f>IF(_Ov_Ophthalmology!O21&lt;&gt;"",_Ov_Ophthalmology!O21,SUM(Portland!O21))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25">
      <c r="A22" s="20"/>
      <c r="B22" s="62">
        <f>EDATE(DATE(_Setup!$B$4,10,1),ROW()-ROW($B$11))</f>
        <v>46266</v>
      </c>
      <c r="C22" s="100">
        <f>IF(_Ov_Ophthalmology!C22&lt;&gt;"",_Ov_Ophthalmology!C22,SUM(Portland!C23))</f>
        <v>0</v>
      </c>
      <c r="D22" s="101">
        <f>IF(_Ov_Ophthalmology!D22&lt;&gt;"",_Ov_Ophthalmology!D22,SUM(Portland!D23))</f>
        <v>0</v>
      </c>
      <c r="E22" s="102" t="str">
        <f t="shared" si="1"/>
        <v/>
      </c>
      <c r="F22" s="103">
        <f>IF(_Ov_Ophthalmology!F22&lt;&gt;"",_Ov_Ophthalmology!F22,SUM(Portland!F23))</f>
        <v>0</v>
      </c>
      <c r="G22" s="104">
        <f>IF(_Ov_Ophthalmology!G22&lt;&gt;"",_Ov_Ophthalmology!G22,SUM(Portland!G23))</f>
        <v>0</v>
      </c>
      <c r="H22" s="161" t="str">
        <f t="shared" si="2"/>
        <v/>
      </c>
      <c r="I22" s="162">
        <f>IF(_Ov_Ophthalmology!I22&lt;&gt;"",_Ov_Ophthalmology!I22,SUM(Portland!I23))</f>
        <v>0</v>
      </c>
      <c r="J22" s="162">
        <f>IF(_Ov_Ophthalmology!J22&lt;&gt;"",_Ov_Ophthalmology!J22,SUM(Portland!J23))</f>
        <v>0</v>
      </c>
      <c r="K22" s="162" t="str">
        <f>IF(_Ov_Ophthalmology!K22&lt;&gt;"",_Ov_Ophthalmology!K22,IFERROR(Portland!BA22/Portland!AZ22,""))</f>
        <v/>
      </c>
      <c r="L22" s="110">
        <f>IF(_Ov_Ophthalmology!L22&lt;&gt;"",_Ov_Ophthalmology!L22,SUM(Portland!L23))</f>
        <v>0</v>
      </c>
      <c r="M22" s="108">
        <f>IF(_Ov_Ophthalmology!M22&lt;&gt;"",_Ov_Ophthalmology!M22,SUM(Portland!M23))</f>
        <v>0</v>
      </c>
      <c r="N22" s="108">
        <f>IF(_Ov_Ophthalmology!N22&lt;&gt;"",_Ov_Ophthalmology!N22,SUM(Portland!N23))</f>
        <v>0</v>
      </c>
      <c r="O22" s="110">
        <f>IF(_Ov_Ophthalmology!O22&lt;&gt;"",_Ov_Ophthalmology!O22,SUM(Portland!O23))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25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25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25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25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25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25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25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25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25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25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25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25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25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25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25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25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25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25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25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25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25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25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25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25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25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25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25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25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25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25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25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25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25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25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25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25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25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25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25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25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25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25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25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25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25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25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U84"/>
  <sheetViews>
    <sheetView workbookViewId="0"/>
  </sheetViews>
  <sheetFormatPr defaultRowHeight="15" x14ac:dyDescent="0.25"/>
  <cols>
    <col min="49" max="49" width="11.28515625" customWidth="1"/>
  </cols>
  <sheetData>
    <row r="1" spans="1:47" ht="15" customHeight="1" x14ac:dyDescent="0.25">
      <c r="A1" s="1" t="s">
        <v>149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25">
      <c r="A2" s="1"/>
      <c r="B2" s="3"/>
      <c r="C2" s="277" t="s">
        <v>0</v>
      </c>
      <c r="D2" s="253"/>
      <c r="E2" s="253"/>
      <c r="F2" s="253"/>
      <c r="G2" s="279" t="s">
        <v>1</v>
      </c>
      <c r="H2" s="253"/>
      <c r="I2" s="253"/>
      <c r="J2" s="253"/>
      <c r="K2" s="280" t="s">
        <v>2</v>
      </c>
      <c r="L2" s="253"/>
      <c r="M2" s="253"/>
      <c r="N2" s="281" t="s">
        <v>3</v>
      </c>
      <c r="O2" s="253"/>
      <c r="P2" s="278" t="s">
        <v>43</v>
      </c>
      <c r="Q2" s="253"/>
      <c r="R2" s="253"/>
      <c r="S2" s="282" t="s">
        <v>44</v>
      </c>
      <c r="T2" s="253"/>
      <c r="U2" s="253"/>
      <c r="V2" s="275" t="s">
        <v>45</v>
      </c>
      <c r="W2" s="253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25">
      <c r="A3" s="1"/>
      <c r="B3" s="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25">
      <c r="A4" s="1"/>
      <c r="B4" s="3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25">
      <c r="A5" s="1"/>
      <c r="B5" s="6" t="s">
        <v>11</v>
      </c>
      <c r="C5" s="7"/>
      <c r="D5" s="8"/>
      <c r="E5" s="9">
        <f>SUM(E11:E22)</f>
        <v>4.9421640322554241</v>
      </c>
      <c r="F5" s="10">
        <f>SUM(F11:F22)</f>
        <v>8</v>
      </c>
      <c r="G5" s="11">
        <f>SUM(G11:G22)</f>
        <v>8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25">
      <c r="A6" s="1"/>
      <c r="B6" s="6" t="s">
        <v>13</v>
      </c>
      <c r="C6" s="21" t="s">
        <v>47</v>
      </c>
      <c r="D6" s="22" t="s">
        <v>47</v>
      </c>
      <c r="E6" s="23">
        <f>AVERAGE(E11:E22)</f>
        <v>0.5491293369172694</v>
      </c>
      <c r="F6" s="24">
        <f>AVERAGE(F11:F22)</f>
        <v>0.66666666666666663</v>
      </c>
      <c r="G6" s="25">
        <f>AVERAGE(G11:G22)</f>
        <v>0.66666666666666663</v>
      </c>
      <c r="H6" s="26" t="s">
        <v>47</v>
      </c>
      <c r="I6" s="27">
        <f>AVERAGE(I11:I22)</f>
        <v>0</v>
      </c>
      <c r="J6" s="28">
        <f>AVERAGE(J11:J22)</f>
        <v>0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>
        <f t="shared" si="1"/>
        <v>0</v>
      </c>
      <c r="O6" s="28">
        <f t="shared" si="1"/>
        <v>0</v>
      </c>
      <c r="P6" s="32">
        <f t="shared" si="1"/>
        <v>4.25</v>
      </c>
      <c r="Q6" s="33">
        <f t="shared" si="1"/>
        <v>11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25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25">
      <c r="A8" s="1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7" t="s">
        <v>23</v>
      </c>
      <c r="L8" s="263" t="s">
        <v>24</v>
      </c>
      <c r="M8" s="271" t="s">
        <v>25</v>
      </c>
      <c r="N8" s="264" t="s">
        <v>48</v>
      </c>
      <c r="O8" s="273" t="s">
        <v>49</v>
      </c>
      <c r="P8" s="274" t="s">
        <v>18</v>
      </c>
      <c r="Q8" s="274" t="s">
        <v>50</v>
      </c>
      <c r="R8" s="274" t="s">
        <v>51</v>
      </c>
      <c r="S8" s="272" t="s">
        <v>52</v>
      </c>
      <c r="T8" s="272" t="s">
        <v>53</v>
      </c>
      <c r="U8" s="272" t="s">
        <v>54</v>
      </c>
      <c r="V8" s="276" t="s">
        <v>55</v>
      </c>
      <c r="W8" s="27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25">
      <c r="A9" s="1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25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3"/>
      <c r="T10" s="253"/>
      <c r="U10" s="253"/>
      <c r="V10" s="253"/>
      <c r="W10" s="253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25">
      <c r="A11" s="1"/>
      <c r="B11" s="62">
        <f>EDATE(DATE(_Setup!$B$4,10,1),ROW()-ROW($B$11))</f>
        <v>45931</v>
      </c>
      <c r="C11" s="63">
        <f>IF(_Ov_Optometry!C11&lt;&gt;"",_Ov_Optometry!C11,SUM(_Sys_Portland_Optom!C11))</f>
        <v>62</v>
      </c>
      <c r="D11" s="64">
        <f>IF(_Ov_Optometry!D11&lt;&gt;"",_Ov_Optometry!D11,SUM(_Sys_Portland_Optom!D11))</f>
        <v>22</v>
      </c>
      <c r="E11" s="65">
        <f t="shared" ref="E11:E22" si="2">IFERROR(D11/C11,"")</f>
        <v>0.35483870967741937</v>
      </c>
      <c r="F11" s="66">
        <f>IF(_Ov_Optometry!F11&lt;&gt;"",_Ov_Optometry!F11,SUM(_Sys_Portland_Optom!F11))</f>
        <v>2</v>
      </c>
      <c r="G11" s="67">
        <f>IF(_Ov_Optometry!G11&lt;&gt;"",_Ov_Optometry!G11,SUM(_Sys_Portland_Optom!G11))</f>
        <v>2</v>
      </c>
      <c r="H11" s="68">
        <f t="shared" ref="H11:H22" si="3">IFERROR(G11/F11,"")</f>
        <v>1</v>
      </c>
      <c r="I11" s="69">
        <f>IF(_Ov_Optometry!I11&lt;&gt;"",_Ov_Optometry!I11,SUM(_Sys_Portland_Optom!I11))</f>
        <v>0</v>
      </c>
      <c r="J11" s="70">
        <f>IF(_Ov_Optometry!J11&lt;&gt;"",_Ov_Optometry!J11,SUM(_Sys_Portland_Optom!J11))</f>
        <v>0</v>
      </c>
      <c r="K11" s="71" t="str">
        <f>IF(_Ov_Optometry!K11&lt;&gt;"",_Ov_Optometry!K11,IFERROR(Portland!BA11/Portland!AZ11,""))</f>
        <v/>
      </c>
      <c r="L11" s="72">
        <f>IF(_Ov_Optometry!L11&lt;&gt;"",_Ov_Optometry!L11,SUM(Portland!L11))</f>
        <v>0</v>
      </c>
      <c r="M11" s="73">
        <f>IF(_Ov_Optometry!M11&lt;&gt;"",_Ov_Optometry!M11,SUM(Portland!M11))</f>
        <v>0</v>
      </c>
      <c r="N11" s="71">
        <f>IF(_Ov_Optometry!N11&lt;&gt;"",_Ov_Optometry!N11,SUM(Portland!N11))</f>
        <v>0</v>
      </c>
      <c r="O11" s="73">
        <f>IF(_Ov_Optometry!O11&lt;&gt;"",_Ov_Optometry!O11,SUM(Portland!O11))</f>
        <v>0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4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25">
      <c r="A12" s="1"/>
      <c r="B12" s="62">
        <f>EDATE(DATE(_Setup!$B$4,10,1),ROW()-ROW($B$11))</f>
        <v>45962</v>
      </c>
      <c r="C12" s="81">
        <f>IF(_Ov_Optometry!C12&lt;&gt;"",_Ov_Optometry!C12,SUM(_Sys_Portland_Optom!C12))</f>
        <v>47</v>
      </c>
      <c r="D12" s="82">
        <f>IF(_Ov_Optometry!D12&lt;&gt;"",_Ov_Optometry!D12,SUM(_Sys_Portland_Optom!D12))</f>
        <v>23</v>
      </c>
      <c r="E12" s="83">
        <f t="shared" si="2"/>
        <v>0.48936170212765956</v>
      </c>
      <c r="F12" s="84">
        <f>IF(_Ov_Optometry!F12&lt;&gt;"",_Ov_Optometry!F12,SUM(_Sys_Portland_Optom!F12))</f>
        <v>0</v>
      </c>
      <c r="G12" s="85">
        <f>IF(_Ov_Optometry!G12&lt;&gt;"",_Ov_Optometry!G12,SUM(_Sys_Portland_Optom!G12))</f>
        <v>0</v>
      </c>
      <c r="H12" s="86" t="str">
        <f t="shared" si="3"/>
        <v/>
      </c>
      <c r="I12" s="87">
        <f>IF(_Ov_Optometry!I12&lt;&gt;"",_Ov_Optometry!I12,SUM(_Sys_Portland_Optom!I12))</f>
        <v>0</v>
      </c>
      <c r="J12" s="88">
        <f>IF(_Ov_Optometry!J12&lt;&gt;"",_Ov_Optometry!J12,SUM(_Sys_Portland_Optom!J12))</f>
        <v>0</v>
      </c>
      <c r="K12" s="89" t="str">
        <f>IF(_Ov_Optometry!K12&lt;&gt;"",_Ov_Optometry!K12,IFERROR(Portland!BA12/Portland!AZ12,""))</f>
        <v/>
      </c>
      <c r="L12" s="90">
        <f>IF(_Ov_Optometry!L12&lt;&gt;"",_Ov_Optometry!L12,SUM(Portland!L12))</f>
        <v>0</v>
      </c>
      <c r="M12" s="91">
        <f>IF(_Ov_Optometry!M12&lt;&gt;"",_Ov_Optometry!M12,SUM(Portland!M12))</f>
        <v>0</v>
      </c>
      <c r="N12" s="89">
        <f>IF(_Ov_Optometry!N12&lt;&gt;"",_Ov_Optometry!N12,SUM(Portland!N12))</f>
        <v>0</v>
      </c>
      <c r="O12" s="91">
        <f>IF(_Ov_Optometry!O12&lt;&gt;"",_Ov_Optometry!O12,SUM(Portland!O12))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4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25">
      <c r="A13" s="1"/>
      <c r="B13" s="62">
        <f>EDATE(DATE(_Setup!$B$4,10,1),ROW()-ROW($B$11))</f>
        <v>45992</v>
      </c>
      <c r="C13" s="81">
        <f>IF(_Ov_Optometry!C13&lt;&gt;"",_Ov_Optometry!C13,SUM(_Sys_Portland_Optom!C13))</f>
        <v>63</v>
      </c>
      <c r="D13" s="82">
        <f>IF(_Ov_Optometry!D13&lt;&gt;"",_Ov_Optometry!D13,SUM(_Sys_Portland_Optom!D13))</f>
        <v>22</v>
      </c>
      <c r="E13" s="83">
        <f t="shared" si="2"/>
        <v>0.34920634920634919</v>
      </c>
      <c r="F13" s="84">
        <f>IF(_Ov_Optometry!F13&lt;&gt;"",_Ov_Optometry!F13,SUM(_Sys_Portland_Optom!F13))</f>
        <v>1</v>
      </c>
      <c r="G13" s="85">
        <f>IF(_Ov_Optometry!G13&lt;&gt;"",_Ov_Optometry!G13,SUM(_Sys_Portland_Optom!G13))</f>
        <v>1</v>
      </c>
      <c r="H13" s="86">
        <f t="shared" si="3"/>
        <v>1</v>
      </c>
      <c r="I13" s="87">
        <f>IF(_Ov_Optometry!I13&lt;&gt;"",_Ov_Optometry!I13,SUM(_Sys_Portland_Optom!I13))</f>
        <v>0</v>
      </c>
      <c r="J13" s="88">
        <f>IF(_Ov_Optometry!J13&lt;&gt;"",_Ov_Optometry!J13,SUM(_Sys_Portland_Optom!J13))</f>
        <v>0</v>
      </c>
      <c r="K13" s="89" t="str">
        <f>IF(_Ov_Optometry!K13&lt;&gt;"",_Ov_Optometry!K13,IFERROR(Portland!BA13/Portland!AZ13,""))</f>
        <v/>
      </c>
      <c r="L13" s="90">
        <f>IF(_Ov_Optometry!L13&lt;&gt;"",_Ov_Optometry!L13,SUM(Portland!L13))</f>
        <v>0</v>
      </c>
      <c r="M13" s="91">
        <f>IF(_Ov_Optometry!M13&lt;&gt;"",_Ov_Optometry!M13,SUM(Portland!M13))</f>
        <v>0</v>
      </c>
      <c r="N13" s="89">
        <f>IF(_Ov_Optometry!N13&lt;&gt;"",_Ov_Optometry!N13,SUM(Portland!N13))</f>
        <v>0</v>
      </c>
      <c r="O13" s="91">
        <f>IF(_Ov_Optometry!O13&lt;&gt;"",_Ov_Optometry!O13,SUM(Portland!O13))</f>
        <v>0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4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25">
      <c r="A14" s="1"/>
      <c r="B14" s="62">
        <f>EDATE(DATE(_Setup!$B$4,10,1),ROW()-ROW($B$11))</f>
        <v>46023</v>
      </c>
      <c r="C14" s="81">
        <f>IF(_Ov_Optometry!C14&lt;&gt;"",_Ov_Optometry!C14,SUM(_Sys_Portland_Optom!C14))</f>
        <v>39</v>
      </c>
      <c r="D14" s="82">
        <f>IF(_Ov_Optometry!D14&lt;&gt;"",_Ov_Optometry!D14,SUM(_Sys_Portland_Optom!D14))</f>
        <v>14</v>
      </c>
      <c r="E14" s="83">
        <f t="shared" si="2"/>
        <v>0.35897435897435898</v>
      </c>
      <c r="F14" s="84">
        <f>IF(_Ov_Optometry!F14&lt;&gt;"",_Ov_Optometry!F14,SUM(_Sys_Portland_Optom!F14))</f>
        <v>1</v>
      </c>
      <c r="G14" s="85">
        <f>IF(_Ov_Optometry!G14&lt;&gt;"",_Ov_Optometry!G14,SUM(_Sys_Portland_Optom!G14))</f>
        <v>1</v>
      </c>
      <c r="H14" s="86">
        <f t="shared" si="3"/>
        <v>1</v>
      </c>
      <c r="I14" s="87">
        <f>IF(_Ov_Optometry!I14&lt;&gt;"",_Ov_Optometry!I14,SUM(_Sys_Portland_Optom!I14))</f>
        <v>0</v>
      </c>
      <c r="J14" s="88">
        <f>IF(_Ov_Optometry!J14&lt;&gt;"",_Ov_Optometry!J14,SUM(_Sys_Portland_Optom!J14))</f>
        <v>0</v>
      </c>
      <c r="K14" s="89" t="str">
        <f>IF(_Ov_Optometry!K14&lt;&gt;"",_Ov_Optometry!K14,IFERROR(Portland!BA14/Portland!AZ14,""))</f>
        <v/>
      </c>
      <c r="L14" s="90">
        <f>IF(_Ov_Optometry!L14&lt;&gt;"",_Ov_Optometry!L14,SUM(Portland!L14))</f>
        <v>0</v>
      </c>
      <c r="M14" s="91">
        <f>IF(_Ov_Optometry!M14&lt;&gt;"",_Ov_Optometry!M14,SUM(Portland!M14))</f>
        <v>0</v>
      </c>
      <c r="N14" s="89">
        <f>IF(_Ov_Optometry!N14&lt;&gt;"",_Ov_Optometry!N14,SUM(Portland!N14))</f>
        <v>0</v>
      </c>
      <c r="O14" s="91">
        <f>IF(_Ov_Optometry!O14&lt;&gt;"",_Ov_Optometry!O14,SUM(Portland!O14))</f>
        <v>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4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25">
      <c r="A15" s="1"/>
      <c r="B15" s="62">
        <f>EDATE(DATE(_Setup!$B$4,10,1),ROW()-ROW($B$11))</f>
        <v>46054</v>
      </c>
      <c r="C15" s="81">
        <f>IF(_Ov_Optometry!C15&lt;&gt;"",_Ov_Optometry!C15,SUM(_Sys_Portland_Optom!C15))</f>
        <v>57</v>
      </c>
      <c r="D15" s="82">
        <f>IF(_Ov_Optometry!D15&lt;&gt;"",_Ov_Optometry!D15,SUM(_Sys_Portland_Optom!D15))</f>
        <v>22</v>
      </c>
      <c r="E15" s="83">
        <f t="shared" si="2"/>
        <v>0.38596491228070173</v>
      </c>
      <c r="F15" s="84">
        <f>IF(_Ov_Optometry!F15&lt;&gt;"",_Ov_Optometry!F15,SUM(_Sys_Portland_Optom!F15))</f>
        <v>0</v>
      </c>
      <c r="G15" s="85">
        <f>IF(_Ov_Optometry!G15&lt;&gt;"",_Ov_Optometry!G15,SUM(_Sys_Portland_Optom!G15))</f>
        <v>0</v>
      </c>
      <c r="H15" s="86" t="str">
        <f t="shared" si="3"/>
        <v/>
      </c>
      <c r="I15" s="87">
        <f>IF(_Ov_Optometry!I15&lt;&gt;"",_Ov_Optometry!I15,SUM(_Sys_Portland_Optom!I15))</f>
        <v>0</v>
      </c>
      <c r="J15" s="88">
        <f>IF(_Ov_Optometry!J15&lt;&gt;"",_Ov_Optometry!J15,SUM(_Sys_Portland_Optom!J15))</f>
        <v>0</v>
      </c>
      <c r="K15" s="89" t="str">
        <f>IF(_Ov_Optometry!K15&lt;&gt;"",_Ov_Optometry!K15,IFERROR(Portland!BA15/Portland!AZ15,""))</f>
        <v/>
      </c>
      <c r="L15" s="90">
        <f>IF(_Ov_Optometry!L15&lt;&gt;"",_Ov_Optometry!L15,SUM(Portland!L15))</f>
        <v>0</v>
      </c>
      <c r="M15" s="91">
        <f>IF(_Ov_Optometry!M15&lt;&gt;"",_Ov_Optometry!M15,SUM(Portland!M15))</f>
        <v>0</v>
      </c>
      <c r="N15" s="89">
        <f>IF(_Ov_Optometry!N15&lt;&gt;"",_Ov_Optometry!N15,SUM(Portland!N15))</f>
        <v>0</v>
      </c>
      <c r="O15" s="91">
        <f>IF(_Ov_Optometry!O15&lt;&gt;"",_Ov_Optometry!O15,SUM(Portland!O15))</f>
        <v>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4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25">
      <c r="A16" s="1"/>
      <c r="B16" s="62">
        <f>EDATE(DATE(_Setup!$B$4,10,1),ROW()-ROW($B$11))</f>
        <v>46082</v>
      </c>
      <c r="C16" s="81">
        <f>IF(_Ov_Optometry!C16&lt;&gt;"",_Ov_Optometry!C16,SUM(_Sys_Portland_Optom!C16))</f>
        <v>74</v>
      </c>
      <c r="D16" s="82">
        <f>IF(_Ov_Optometry!D16&lt;&gt;"",_Ov_Optometry!D16,SUM(_Sys_Portland_Optom!D16))</f>
        <v>32</v>
      </c>
      <c r="E16" s="83">
        <f t="shared" si="2"/>
        <v>0.43243243243243246</v>
      </c>
      <c r="F16" s="84">
        <f>IF(_Ov_Optometry!F16&lt;&gt;"",_Ov_Optometry!F16,SUM(_Sys_Portland_Optom!F16))</f>
        <v>1</v>
      </c>
      <c r="G16" s="85">
        <f>IF(_Ov_Optometry!G16&lt;&gt;"",_Ov_Optometry!G16,SUM(_Sys_Portland_Optom!G16))</f>
        <v>1</v>
      </c>
      <c r="H16" s="86">
        <f t="shared" si="3"/>
        <v>1</v>
      </c>
      <c r="I16" s="87">
        <f>IF(_Ov_Optometry!I16&lt;&gt;"",_Ov_Optometry!I16,SUM(_Sys_Portland_Optom!I16))</f>
        <v>0</v>
      </c>
      <c r="J16" s="88">
        <f>IF(_Ov_Optometry!J16&lt;&gt;"",_Ov_Optometry!J16,SUM(_Sys_Portland_Optom!J16))</f>
        <v>0</v>
      </c>
      <c r="K16" s="89" t="str">
        <f>IF(_Ov_Optometry!K16&lt;&gt;"",_Ov_Optometry!K16,IFERROR(Portland!BA16/Portland!AZ16,""))</f>
        <v/>
      </c>
      <c r="L16" s="90">
        <f>IF(_Ov_Optometry!L16&lt;&gt;"",_Ov_Optometry!L16,SUM(Portland!L16))</f>
        <v>0</v>
      </c>
      <c r="M16" s="91">
        <f>IF(_Ov_Optometry!M16&lt;&gt;"",_Ov_Optometry!M16,SUM(Portland!M16))</f>
        <v>0</v>
      </c>
      <c r="N16" s="89">
        <f>IF(_Ov_Optometry!N16&lt;&gt;"",_Ov_Optometry!N16,SUM(Portland!N16))</f>
        <v>0</v>
      </c>
      <c r="O16" s="91">
        <f>IF(_Ov_Optometry!O16&lt;&gt;"",_Ov_Optometry!O16,SUM(Portland!O16))</f>
        <v>0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4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25">
      <c r="A17" s="1"/>
      <c r="B17" s="62">
        <f>EDATE(DATE(_Setup!$B$4,10,1),ROW()-ROW($B$11))</f>
        <v>46113</v>
      </c>
      <c r="C17" s="81">
        <f>IF(_Ov_Optometry!C17&lt;&gt;"",_Ov_Optometry!C17,SUM(_Sys_Portland_Optom!C17))</f>
        <v>57</v>
      </c>
      <c r="D17" s="82">
        <f>IF(_Ov_Optometry!D17&lt;&gt;"",_Ov_Optometry!D17,SUM(_Sys_Portland_Optom!D17))</f>
        <v>49</v>
      </c>
      <c r="E17" s="83">
        <f t="shared" si="2"/>
        <v>0.85964912280701755</v>
      </c>
      <c r="F17" s="84">
        <f>IF(_Ov_Optometry!F17&lt;&gt;"",_Ov_Optometry!F17,SUM(_Sys_Portland_Optom!F17))</f>
        <v>1</v>
      </c>
      <c r="G17" s="85">
        <f>IF(_Ov_Optometry!G17&lt;&gt;"",_Ov_Optometry!G17,SUM(_Sys_Portland_Optom!G17))</f>
        <v>1</v>
      </c>
      <c r="H17" s="86">
        <f t="shared" si="3"/>
        <v>1</v>
      </c>
      <c r="I17" s="87">
        <f>IF(_Ov_Optometry!I17&lt;&gt;"",_Ov_Optometry!I17,SUM(_Sys_Portland_Optom!I17))</f>
        <v>0</v>
      </c>
      <c r="J17" s="88">
        <f>IF(_Ov_Optometry!J17&lt;&gt;"",_Ov_Optometry!J17,SUM(_Sys_Portland_Optom!J17))</f>
        <v>0</v>
      </c>
      <c r="K17" s="89" t="str">
        <f>IF(_Ov_Optometry!K17&lt;&gt;"",_Ov_Optometry!K17,IFERROR(Portland!BA17/Portland!AZ17,""))</f>
        <v/>
      </c>
      <c r="L17" s="90">
        <f>IF(_Ov_Optometry!L17&lt;&gt;"",_Ov_Optometry!L17,SUM(Portland!L17))</f>
        <v>0</v>
      </c>
      <c r="M17" s="91">
        <f>IF(_Ov_Optometry!M17&lt;&gt;"",_Ov_Optometry!M17,SUM(Portland!M17))</f>
        <v>0</v>
      </c>
      <c r="N17" s="89">
        <f>IF(_Ov_Optometry!N17&lt;&gt;"",_Ov_Optometry!N17,SUM(Portland!N17))</f>
        <v>0</v>
      </c>
      <c r="O17" s="91">
        <f>IF(_Ov_Optometry!O17&lt;&gt;"",_Ov_Optometry!O17,SUM(Portland!O17))</f>
        <v>0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4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25">
      <c r="A18" s="1"/>
      <c r="B18" s="62">
        <f>EDATE(DATE(_Setup!$B$4,10,1),ROW()-ROW($B$11))</f>
        <v>46143</v>
      </c>
      <c r="C18" s="81">
        <f>IF(_Ov_Optometry!C18&lt;&gt;"",_Ov_Optometry!C18,SUM(_Sys_Portland_Optom!C18))</f>
        <v>62</v>
      </c>
      <c r="D18" s="82">
        <f>IF(_Ov_Optometry!D18&lt;&gt;"",_Ov_Optometry!D18,SUM(_Sys_Portland_Optom!D18))</f>
        <v>56</v>
      </c>
      <c r="E18" s="83">
        <f t="shared" si="2"/>
        <v>0.90322580645161288</v>
      </c>
      <c r="F18" s="84">
        <f>IF(_Ov_Optometry!F18&lt;&gt;"",_Ov_Optometry!F18,SUM(_Sys_Portland_Optom!F18))</f>
        <v>2</v>
      </c>
      <c r="G18" s="85">
        <f>IF(_Ov_Optometry!G18&lt;&gt;"",_Ov_Optometry!G18,SUM(_Sys_Portland_Optom!G18))</f>
        <v>2</v>
      </c>
      <c r="H18" s="86">
        <f t="shared" si="3"/>
        <v>1</v>
      </c>
      <c r="I18" s="87">
        <f>IF(_Ov_Optometry!I18&lt;&gt;"",_Ov_Optometry!I18,SUM(_Sys_Portland_Optom!I18))</f>
        <v>0</v>
      </c>
      <c r="J18" s="88">
        <f>IF(_Ov_Optometry!J18&lt;&gt;"",_Ov_Optometry!J18,SUM(_Sys_Portland_Optom!J18))</f>
        <v>0</v>
      </c>
      <c r="K18" s="89" t="str">
        <f>IF(_Ov_Optometry!K18&lt;&gt;"",_Ov_Optometry!K18,IFERROR(Portland!BA18/Portland!AZ18,""))</f>
        <v/>
      </c>
      <c r="L18" s="90">
        <f>IF(_Ov_Optometry!L18&lt;&gt;"",_Ov_Optometry!L18,SUM(Portland!L18))</f>
        <v>0</v>
      </c>
      <c r="M18" s="91">
        <f>IF(_Ov_Optometry!M18&lt;&gt;"",_Ov_Optometry!M18,SUM(Portland!M18))</f>
        <v>0</v>
      </c>
      <c r="N18" s="89">
        <f>IF(_Ov_Optometry!N18&lt;&gt;"",_Ov_Optometry!N18,SUM(Portland!N18))</f>
        <v>0</v>
      </c>
      <c r="O18" s="91">
        <f>IF(_Ov_Optometry!O18&lt;&gt;"",_Ov_Optometry!O18,SUM(Portland!O18))</f>
        <v>0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4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25">
      <c r="A19" s="1"/>
      <c r="B19" s="62">
        <f>EDATE(DATE(_Setup!$B$4,10,1),ROW()-ROW($B$11))</f>
        <v>46174</v>
      </c>
      <c r="C19" s="81">
        <f>IF(_Ov_Optometry!C19&lt;&gt;"",_Ov_Optometry!C19,SUM(_Sys_Portland_Optom!C19))</f>
        <v>47</v>
      </c>
      <c r="D19" s="82">
        <f>IF(_Ov_Optometry!D19&lt;&gt;"",_Ov_Optometry!D19,SUM(_Sys_Portland_Optom!D19))</f>
        <v>38</v>
      </c>
      <c r="E19" s="83">
        <f t="shared" si="2"/>
        <v>0.80851063829787229</v>
      </c>
      <c r="F19" s="84">
        <f>IF(_Ov_Optometry!F19&lt;&gt;"",_Ov_Optometry!F19,SUM(_Sys_Portland_Optom!F19))</f>
        <v>0</v>
      </c>
      <c r="G19" s="85">
        <f>IF(_Ov_Optometry!G19&lt;&gt;"",_Ov_Optometry!G19,SUM(_Sys_Portland_Optom!G19))</f>
        <v>0</v>
      </c>
      <c r="H19" s="86" t="str">
        <f t="shared" si="3"/>
        <v/>
      </c>
      <c r="I19" s="87">
        <f>IF(_Ov_Optometry!I19&lt;&gt;"",_Ov_Optometry!I19,SUM(_Sys_Portland_Optom!I19))</f>
        <v>0</v>
      </c>
      <c r="J19" s="88">
        <f>IF(_Ov_Optometry!J19&lt;&gt;"",_Ov_Optometry!J19,SUM(_Sys_Portland_Optom!J19))</f>
        <v>0</v>
      </c>
      <c r="K19" s="89" t="str">
        <f>IF(_Ov_Optometry!K19&lt;&gt;"",_Ov_Optometry!K19,IFERROR(Portland!BA19/Portland!AZ19,""))</f>
        <v/>
      </c>
      <c r="L19" s="90">
        <f>IF(_Ov_Optometry!L19&lt;&gt;"",_Ov_Optometry!L19,SUM(Portland!L19))</f>
        <v>0</v>
      </c>
      <c r="M19" s="91">
        <f>IF(_Ov_Optometry!M19&lt;&gt;"",_Ov_Optometry!M19,SUM(Portland!M19))</f>
        <v>0</v>
      </c>
      <c r="N19" s="89">
        <f>IF(_Ov_Optometry!N19&lt;&gt;"",_Ov_Optometry!N19,SUM(Portland!N19))</f>
        <v>0</v>
      </c>
      <c r="O19" s="91">
        <f>IF(_Ov_Optometry!O19&lt;&gt;"",_Ov_Optometry!O19,SUM(Portland!O19))</f>
        <v>0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4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25">
      <c r="A20" s="1"/>
      <c r="B20" s="62">
        <f>EDATE(DATE(_Setup!$B$4,10,1),ROW()-ROW($B$11))</f>
        <v>46204</v>
      </c>
      <c r="C20" s="81">
        <f>IF(_Ov_Optometry!C20&lt;&gt;"",_Ov_Optometry!C20,SUM(_Sys_Portland_Optom!C20))</f>
        <v>0</v>
      </c>
      <c r="D20" s="82">
        <f>IF(_Ov_Optometry!D20&lt;&gt;"",_Ov_Optometry!D20,SUM(_Sys_Portland_Optom!D20))</f>
        <v>0</v>
      </c>
      <c r="E20" s="83" t="str">
        <f t="shared" si="2"/>
        <v/>
      </c>
      <c r="F20" s="84">
        <f>IF(_Ov_Optometry!F20&lt;&gt;"",_Ov_Optometry!F20,SUM(_Sys_Portland_Optom!F20))</f>
        <v>0</v>
      </c>
      <c r="G20" s="85">
        <f>IF(_Ov_Optometry!G20&lt;&gt;"",_Ov_Optometry!G20,SUM(_Sys_Portland_Optom!G20))</f>
        <v>0</v>
      </c>
      <c r="H20" s="86" t="str">
        <f t="shared" si="3"/>
        <v/>
      </c>
      <c r="I20" s="87">
        <f>IF(_Ov_Optometry!I20&lt;&gt;"",_Ov_Optometry!I20,SUM(_Sys_Portland_Optom!I20))</f>
        <v>0</v>
      </c>
      <c r="J20" s="88">
        <f>IF(_Ov_Optometry!J20&lt;&gt;"",_Ov_Optometry!J20,SUM(_Sys_Portland_Optom!J20))</f>
        <v>0</v>
      </c>
      <c r="K20" s="89" t="str">
        <f>IF(_Ov_Optometry!K20&lt;&gt;"",_Ov_Optometry!K20,IFERROR(Portland!BA20/Portland!AZ20,""))</f>
        <v/>
      </c>
      <c r="L20" s="90">
        <f>IF(_Ov_Optometry!L20&lt;&gt;"",_Ov_Optometry!L20,SUM(Portland!L20))</f>
        <v>0</v>
      </c>
      <c r="M20" s="91">
        <f>IF(_Ov_Optometry!M20&lt;&gt;"",_Ov_Optometry!M20,SUM(Portland!M20))</f>
        <v>0</v>
      </c>
      <c r="N20" s="89">
        <f>IF(_Ov_Optometry!N20&lt;&gt;"",_Ov_Optometry!N20,SUM(Portland!N20))</f>
        <v>0</v>
      </c>
      <c r="O20" s="91">
        <f>IF(_Ov_Optometry!O20&lt;&gt;"",_Ov_Optometry!O20,SUM(Portland!O20))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25">
      <c r="A21" s="1"/>
      <c r="B21" s="62">
        <f>EDATE(DATE(_Setup!$B$4,10,1),ROW()-ROW($B$11))</f>
        <v>46235</v>
      </c>
      <c r="C21" s="81">
        <f>IF(_Ov_Optometry!C21&lt;&gt;"",_Ov_Optometry!C21,SUM(_Sys_Portland_Optom!C21))</f>
        <v>0</v>
      </c>
      <c r="D21" s="82">
        <f>IF(_Ov_Optometry!D21&lt;&gt;"",_Ov_Optometry!D21,SUM(_Sys_Portland_Optom!D21))</f>
        <v>0</v>
      </c>
      <c r="E21" s="83" t="str">
        <f t="shared" si="2"/>
        <v/>
      </c>
      <c r="F21" s="84">
        <f>IF(_Ov_Optometry!F21&lt;&gt;"",_Ov_Optometry!F21,SUM(_Sys_Portland_Optom!F21))</f>
        <v>0</v>
      </c>
      <c r="G21" s="85">
        <f>IF(_Ov_Optometry!G21&lt;&gt;"",_Ov_Optometry!G21,SUM(_Sys_Portland_Optom!G21))</f>
        <v>0</v>
      </c>
      <c r="H21" s="86" t="str">
        <f t="shared" si="3"/>
        <v/>
      </c>
      <c r="I21" s="87">
        <f>IF(_Ov_Optometry!I21&lt;&gt;"",_Ov_Optometry!I21,SUM(_Sys_Portland_Optom!I21))</f>
        <v>0</v>
      </c>
      <c r="J21" s="88">
        <f>IF(_Ov_Optometry!J21&lt;&gt;"",_Ov_Optometry!J21,SUM(_Sys_Portland_Optom!J21))</f>
        <v>0</v>
      </c>
      <c r="K21" s="89" t="str">
        <f>IF(_Ov_Optometry!K21&lt;&gt;"",_Ov_Optometry!K21,IFERROR(Portland!BA21/Portland!AZ21,""))</f>
        <v/>
      </c>
      <c r="L21" s="90">
        <f>IF(_Ov_Optometry!L21&lt;&gt;"",_Ov_Optometry!L21,SUM(Portland!L21))</f>
        <v>0</v>
      </c>
      <c r="M21" s="91">
        <f>IF(_Ov_Optometry!M21&lt;&gt;"",_Ov_Optometry!M21,SUM(Portland!M21))</f>
        <v>0</v>
      </c>
      <c r="N21" s="89">
        <f>IF(_Ov_Optometry!N21&lt;&gt;"",_Ov_Optometry!N21,SUM(Portland!N21))</f>
        <v>0</v>
      </c>
      <c r="O21" s="91">
        <f>IF(_Ov_Optometry!O21&lt;&gt;"",_Ov_Optometry!O21,SUM(Portland!O21))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25">
      <c r="A22" s="1"/>
      <c r="B22" s="62">
        <f>EDATE(DATE(_Setup!$B$4,10,1),ROW()-ROW($B$11))</f>
        <v>46266</v>
      </c>
      <c r="C22" s="100">
        <f>IF(_Ov_Optometry!C22&lt;&gt;"",_Ov_Optometry!C22,SUM(_Sys_Portland_Optom!C22))</f>
        <v>0</v>
      </c>
      <c r="D22" s="101">
        <f>IF(_Ov_Optometry!D22&lt;&gt;"",_Ov_Optometry!D22,SUM(_Sys_Portland_Optom!D22))</f>
        <v>0</v>
      </c>
      <c r="E22" s="102" t="str">
        <f t="shared" si="2"/>
        <v/>
      </c>
      <c r="F22" s="103">
        <f>IF(_Ov_Optometry!F22&lt;&gt;"",_Ov_Optometry!F22,SUM(_Sys_Portland_Optom!F22))</f>
        <v>0</v>
      </c>
      <c r="G22" s="104">
        <f>IF(_Ov_Optometry!G22&lt;&gt;"",_Ov_Optometry!G22,SUM(_Sys_Portland_Optom!G22))</f>
        <v>0</v>
      </c>
      <c r="H22" s="105" t="str">
        <f t="shared" si="3"/>
        <v/>
      </c>
      <c r="I22" s="106">
        <f>IF(_Ov_Optometry!I22&lt;&gt;"",_Ov_Optometry!I22,SUM(_Sys_Portland_Optom!I22))</f>
        <v>0</v>
      </c>
      <c r="J22" s="107">
        <f>IF(_Ov_Optometry!J22&lt;&gt;"",_Ov_Optometry!J22,SUM(_Sys_Portland_Optom!J22))</f>
        <v>0</v>
      </c>
      <c r="K22" s="108" t="str">
        <f>IF(_Ov_Optometry!K22&lt;&gt;"",_Ov_Optometry!K22,IFERROR(Portland!BA22/Portland!AZ22,""))</f>
        <v/>
      </c>
      <c r="L22" s="109">
        <f>IF(_Ov_Optometry!L22&lt;&gt;"",_Ov_Optometry!L22,SUM(Portland!L23))</f>
        <v>0</v>
      </c>
      <c r="M22" s="110">
        <f>IF(_Ov_Optometry!M22&lt;&gt;"",_Ov_Optometry!M22,SUM(Portland!M23))</f>
        <v>0</v>
      </c>
      <c r="N22" s="108">
        <f>IF(_Ov_Optometry!N22&lt;&gt;"",_Ov_Optometry!N22,SUM(Portland!N23))</f>
        <v>0</v>
      </c>
      <c r="O22" s="110">
        <f>IF(_Ov_Optometry!O22&lt;&gt;"",_Ov_Optometry!O22,SUM(Portland!O23))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25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25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Q74"/>
  <sheetViews>
    <sheetView workbookViewId="0"/>
  </sheetViews>
  <sheetFormatPr defaultRowHeight="15" x14ac:dyDescent="0.25"/>
  <cols>
    <col min="1" max="1" width="10.7109375" customWidth="1"/>
    <col min="14" max="14" width="10.7109375" customWidth="1"/>
    <col min="21" max="21" width="10.7109375" customWidth="1"/>
    <col min="26" max="26" width="10.7109375" customWidth="1"/>
  </cols>
  <sheetData>
    <row r="1" spans="1:43" ht="15" customHeight="1" x14ac:dyDescent="0.25">
      <c r="A1" s="20" t="s">
        <v>150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25">
      <c r="A2" s="20"/>
      <c r="B2" s="128"/>
      <c r="C2" s="252" t="s">
        <v>0</v>
      </c>
      <c r="D2" s="253"/>
      <c r="E2" s="253"/>
      <c r="F2" s="253"/>
      <c r="G2" s="266" t="s">
        <v>1</v>
      </c>
      <c r="H2" s="253"/>
      <c r="I2" s="253"/>
      <c r="J2" s="253"/>
      <c r="K2" s="253"/>
      <c r="L2" s="253"/>
      <c r="M2" s="269" t="s">
        <v>2</v>
      </c>
      <c r="N2" s="253"/>
      <c r="O2" s="253"/>
      <c r="P2" s="265" t="s">
        <v>3</v>
      </c>
      <c r="Q2" s="253"/>
      <c r="R2" s="129"/>
      <c r="S2" s="129"/>
      <c r="T2" s="129"/>
      <c r="U2" s="301"/>
      <c r="V2" s="253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20"/>
      <c r="B3" s="128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129"/>
      <c r="S3" s="129"/>
      <c r="T3" s="129"/>
      <c r="U3" s="253"/>
      <c r="V3" s="253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25">
      <c r="A4" s="20"/>
      <c r="B4" s="128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129"/>
      <c r="S4" s="129"/>
      <c r="T4" s="129"/>
      <c r="U4" s="253"/>
      <c r="V4" s="253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25">
      <c r="A5" s="20"/>
      <c r="B5" s="6" t="s">
        <v>11</v>
      </c>
      <c r="C5" s="7">
        <f t="shared" ref="C5:Q5" si="0">AVERAGE(C11:C22)</f>
        <v>6.416666666666667</v>
      </c>
      <c r="D5" s="7">
        <f t="shared" si="0"/>
        <v>5.083333333333333</v>
      </c>
      <c r="E5" s="131">
        <f t="shared" si="0"/>
        <v>0.81279461279461285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8.3333333333333329E-2</v>
      </c>
      <c r="J5" s="134">
        <f t="shared" si="0"/>
        <v>1.5833333333333333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5</v>
      </c>
      <c r="Q5" s="136">
        <f t="shared" si="0"/>
        <v>0</v>
      </c>
      <c r="R5" s="306" t="s">
        <v>12</v>
      </c>
      <c r="S5" s="303"/>
      <c r="T5" s="304">
        <f>AVERAGE(T11:T12)</f>
        <v>0</v>
      </c>
      <c r="U5" s="137"/>
      <c r="V5" s="304">
        <f>AVERAGE(V11:V12)</f>
        <v>1.375</v>
      </c>
      <c r="W5" s="130"/>
      <c r="X5" s="304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25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7"/>
      <c r="S6" s="303"/>
      <c r="T6" s="305"/>
      <c r="U6" s="137"/>
      <c r="V6" s="305"/>
      <c r="W6" s="130"/>
      <c r="X6" s="305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25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2" t="s">
        <v>14</v>
      </c>
      <c r="S7" s="30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25">
      <c r="A8" s="20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5" t="s">
        <v>21</v>
      </c>
      <c r="L8" s="255" t="s">
        <v>22</v>
      </c>
      <c r="M8" s="257" t="s">
        <v>23</v>
      </c>
      <c r="N8" s="263" t="s">
        <v>24</v>
      </c>
      <c r="O8" s="271" t="s">
        <v>25</v>
      </c>
      <c r="P8" s="264" t="s">
        <v>26</v>
      </c>
      <c r="Q8" s="270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8" t="s">
        <v>147</v>
      </c>
      <c r="X8" s="253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25">
      <c r="A9" s="20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147"/>
      <c r="W9" s="253"/>
      <c r="X9" s="253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25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3"/>
      <c r="X10" s="253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25">
      <c r="A11" s="20"/>
      <c r="B11" s="62">
        <f>EDATE(DATE(_Setup!$B$4,10,1),ROW()-ROW($B$11))</f>
        <v>45931</v>
      </c>
      <c r="C11" s="63">
        <f>IF(_Ov_Ophthalmology!C11&lt;&gt;"",_Ov_Ophthalmology!C11,SUM(Vancouver!C11))</f>
        <v>11</v>
      </c>
      <c r="D11" s="64">
        <f>IF(_Ov_Ophthalmology!D11&lt;&gt;"",_Ov_Ophthalmology!D11,SUM(Vancouver!D11))</f>
        <v>5</v>
      </c>
      <c r="E11" s="65">
        <f t="shared" ref="E11:E22" si="1">IFERROR(D11/C11,"")</f>
        <v>0.45454545454545453</v>
      </c>
      <c r="F11" s="66">
        <f>IF(_Ov_Ophthalmology!F11&lt;&gt;"",_Ov_Ophthalmology!F11,SUM(Vancouver!F11))</f>
        <v>0</v>
      </c>
      <c r="G11" s="67">
        <f>IF(_Ov_Ophthalmology!G11&lt;&gt;"",_Ov_Ophthalmology!G11,SUM(Vancouver!G11))</f>
        <v>0</v>
      </c>
      <c r="H11" s="150" t="str">
        <f t="shared" ref="H11:H22" si="2">IFERROR(G11/F11,"")</f>
        <v/>
      </c>
      <c r="I11" s="151">
        <f>IF(_Ov_Ophthalmology!I11&lt;&gt;"",_Ov_Ophthalmology!I11,SUM(Vancouver!I11))</f>
        <v>0</v>
      </c>
      <c r="J11" s="151">
        <f>IF(_Ov_Ophthalmology!J11&lt;&gt;"",_Ov_Ophthalmology!J11,SUM(Vancouver!J11))</f>
        <v>0</v>
      </c>
      <c r="K11" s="151" t="str">
        <f>IF(_Ov_Ophthalmology!K11&lt;&gt;"",_Ov_Ophthalmology!K11,IFERROR(Vancouver!BA11/Vancouver!AZ11,""))</f>
        <v/>
      </c>
      <c r="L11" s="73">
        <f>IF(_Ov_Ophthalmology!L11&lt;&gt;"",_Ov_Ophthalmology!L11,SUM(Vancouver!L11))</f>
        <v>0</v>
      </c>
      <c r="M11" s="71">
        <f>IF(_Ov_Ophthalmology!M11&lt;&gt;"",_Ov_Ophthalmology!M11,SUM(Vancouver!M11))</f>
        <v>0</v>
      </c>
      <c r="N11" s="71">
        <f>IF(_Ov_Ophthalmology!N11&lt;&gt;"",_Ov_Ophthalmology!N11,SUM(Vancouver!N11))</f>
        <v>0</v>
      </c>
      <c r="O11" s="73">
        <f>IF(_Ov_Ophthalmology!O11&lt;&gt;"",_Ov_Ophthalmology!O11,SUM(Vancouver!O11))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3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25">
      <c r="A12" s="20"/>
      <c r="B12" s="62">
        <f>EDATE(DATE(_Setup!$B$4,10,1),ROW()-ROW($B$11))</f>
        <v>45962</v>
      </c>
      <c r="C12" s="81">
        <f>IF(_Ov_Ophthalmology!C12&lt;&gt;"",_Ov_Ophthalmology!C12,SUM(Vancouver!C12))</f>
        <v>10</v>
      </c>
      <c r="D12" s="82">
        <f>IF(_Ov_Ophthalmology!D12&lt;&gt;"",_Ov_Ophthalmology!D12,SUM(Vancouver!D12))</f>
        <v>8</v>
      </c>
      <c r="E12" s="83">
        <f t="shared" si="1"/>
        <v>0.8</v>
      </c>
      <c r="F12" s="84">
        <f>IF(_Ov_Ophthalmology!F12&lt;&gt;"",_Ov_Ophthalmology!F12,SUM(Vancouver!F12))</f>
        <v>0</v>
      </c>
      <c r="G12" s="85">
        <f>IF(_Ov_Ophthalmology!G12&lt;&gt;"",_Ov_Ophthalmology!G12,SUM(Vancouver!G12))</f>
        <v>0</v>
      </c>
      <c r="H12" s="157" t="str">
        <f t="shared" si="2"/>
        <v/>
      </c>
      <c r="I12" s="154">
        <f>IF(_Ov_Ophthalmology!I12&lt;&gt;"",_Ov_Ophthalmology!I12,SUM(Vancouver!I12))</f>
        <v>0</v>
      </c>
      <c r="J12" s="154">
        <f>IF(_Ov_Ophthalmology!J12&lt;&gt;"",_Ov_Ophthalmology!J12,SUM(Vancouver!J12))</f>
        <v>0</v>
      </c>
      <c r="K12" s="154" t="str">
        <f>IF(_Ov_Ophthalmology!K12&lt;&gt;"",_Ov_Ophthalmology!K12,IFERROR(Vancouver!BA12/Vancouver!AZ12,""))</f>
        <v/>
      </c>
      <c r="L12" s="91">
        <f>IF(_Ov_Ophthalmology!L12&lt;&gt;"",_Ov_Ophthalmology!L12,SUM(Vancouver!L12))</f>
        <v>0</v>
      </c>
      <c r="M12" s="89">
        <f>IF(_Ov_Ophthalmology!M12&lt;&gt;"",_Ov_Ophthalmology!M12,SUM(Vancouver!M12))</f>
        <v>0</v>
      </c>
      <c r="N12" s="89">
        <f>IF(_Ov_Ophthalmology!N12&lt;&gt;"",_Ov_Ophthalmology!N12,SUM(Vancouver!N12))</f>
        <v>0</v>
      </c>
      <c r="O12" s="91">
        <f>IF(_Ov_Ophthalmology!O12&lt;&gt;"",_Ov_Ophthalmology!O12,SUM(Vancouver!O12))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3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25">
      <c r="A13" s="20"/>
      <c r="B13" s="62">
        <f>EDATE(DATE(_Setup!$B$4,10,1),ROW()-ROW($B$11))</f>
        <v>45992</v>
      </c>
      <c r="C13" s="81">
        <f>IF(_Ov_Ophthalmology!C13&lt;&gt;"",_Ov_Ophthalmology!C13,SUM(Vancouver!C13))</f>
        <v>4</v>
      </c>
      <c r="D13" s="82">
        <f>IF(_Ov_Ophthalmology!D13&lt;&gt;"",_Ov_Ophthalmology!D13,SUM(Vancouver!D13))</f>
        <v>3</v>
      </c>
      <c r="E13" s="83">
        <f t="shared" si="1"/>
        <v>0.75</v>
      </c>
      <c r="F13" s="84">
        <f>IF(_Ov_Ophthalmology!F13&lt;&gt;"",_Ov_Ophthalmology!F13,SUM(Vancouver!F13))</f>
        <v>0</v>
      </c>
      <c r="G13" s="85">
        <f>IF(_Ov_Ophthalmology!G13&lt;&gt;"",_Ov_Ophthalmology!G13,SUM(Vancouver!G13))</f>
        <v>0</v>
      </c>
      <c r="H13" s="157" t="str">
        <f t="shared" si="2"/>
        <v/>
      </c>
      <c r="I13" s="154">
        <f>IF(_Ov_Ophthalmology!I13&lt;&gt;"",_Ov_Ophthalmology!I13,SUM(Vancouver!I13))</f>
        <v>1</v>
      </c>
      <c r="J13" s="154">
        <f>IF(_Ov_Ophthalmology!J13&lt;&gt;"",_Ov_Ophthalmology!J13,SUM(Vancouver!J13))</f>
        <v>19</v>
      </c>
      <c r="K13" s="154" t="str">
        <f>IF(_Ov_Ophthalmology!K13&lt;&gt;"",_Ov_Ophthalmology!K13,IFERROR(Vancouver!BA13/Vancouver!AZ13,""))</f>
        <v/>
      </c>
      <c r="L13" s="91">
        <f>IF(_Ov_Ophthalmology!L13&lt;&gt;"",_Ov_Ophthalmology!L13,SUM(Vancouver!L13))</f>
        <v>0</v>
      </c>
      <c r="M13" s="89">
        <f>IF(_Ov_Ophthalmology!M13&lt;&gt;"",_Ov_Ophthalmology!M13,SUM(Vancouver!M13))</f>
        <v>0</v>
      </c>
      <c r="N13" s="89">
        <f>IF(_Ov_Ophthalmology!N13&lt;&gt;"",_Ov_Ophthalmology!N13,SUM(Vancouver!N13))</f>
        <v>0</v>
      </c>
      <c r="O13" s="91">
        <f>IF(_Ov_Ophthalmology!O13&lt;&gt;"",_Ov_Ophthalmology!O13,SUM(Vancouver!O13))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3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25">
      <c r="A14" s="20"/>
      <c r="B14" s="62">
        <f>EDATE(DATE(_Setup!$B$4,10,1),ROW()-ROW($B$11))</f>
        <v>46023</v>
      </c>
      <c r="C14" s="81">
        <f>IF(_Ov_Ophthalmology!C14&lt;&gt;"",_Ov_Ophthalmology!C14,SUM(Vancouver!C14))</f>
        <v>11</v>
      </c>
      <c r="D14" s="82">
        <f>IF(_Ov_Ophthalmology!D14&lt;&gt;"",_Ov_Ophthalmology!D14,SUM(Vancouver!D14))</f>
        <v>9</v>
      </c>
      <c r="E14" s="83">
        <f t="shared" si="1"/>
        <v>0.81818181818181823</v>
      </c>
      <c r="F14" s="84">
        <f>IF(_Ov_Ophthalmology!F14&lt;&gt;"",_Ov_Ophthalmology!F14,SUM(Vancouver!F14))</f>
        <v>0</v>
      </c>
      <c r="G14" s="85">
        <f>IF(_Ov_Ophthalmology!G14&lt;&gt;"",_Ov_Ophthalmology!G14,SUM(Vancouver!G14))</f>
        <v>0</v>
      </c>
      <c r="H14" s="157" t="str">
        <f t="shared" si="2"/>
        <v/>
      </c>
      <c r="I14" s="154">
        <f>IF(_Ov_Ophthalmology!I14&lt;&gt;"",_Ov_Ophthalmology!I14,SUM(Vancouver!I14))</f>
        <v>0</v>
      </c>
      <c r="J14" s="154">
        <f>IF(_Ov_Ophthalmology!J14&lt;&gt;"",_Ov_Ophthalmology!J14,SUM(Vancouver!J14))</f>
        <v>0</v>
      </c>
      <c r="K14" s="154" t="str">
        <f>IF(_Ov_Ophthalmology!K14&lt;&gt;"",_Ov_Ophthalmology!K14,IFERROR(Vancouver!BA14/Vancouver!AZ14,""))</f>
        <v/>
      </c>
      <c r="L14" s="91">
        <f>IF(_Ov_Ophthalmology!L14&lt;&gt;"",_Ov_Ophthalmology!L14,SUM(Vancouver!L14))</f>
        <v>0</v>
      </c>
      <c r="M14" s="89">
        <f>IF(_Ov_Ophthalmology!M14&lt;&gt;"",_Ov_Ophthalmology!M14,SUM(Vancouver!M14))</f>
        <v>0</v>
      </c>
      <c r="N14" s="89">
        <f>IF(_Ov_Ophthalmology!N14&lt;&gt;"",_Ov_Ophthalmology!N14,SUM(Vancouver!N14))</f>
        <v>0</v>
      </c>
      <c r="O14" s="91">
        <f>IF(_Ov_Ophthalmology!O14&lt;&gt;"",_Ov_Ophthalmology!O14,SUM(Vancouver!O14))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3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25">
      <c r="A15" s="20"/>
      <c r="B15" s="62">
        <f>EDATE(DATE(_Setup!$B$4,10,1),ROW()-ROW($B$11))</f>
        <v>46054</v>
      </c>
      <c r="C15" s="81">
        <f>IF(_Ov_Ophthalmology!C15&lt;&gt;"",_Ov_Ophthalmology!C15,SUM(Vancouver!C15))</f>
        <v>9</v>
      </c>
      <c r="D15" s="82">
        <f>IF(_Ov_Ophthalmology!D15&lt;&gt;"",_Ov_Ophthalmology!D15,SUM(Vancouver!D15))</f>
        <v>6</v>
      </c>
      <c r="E15" s="83">
        <f t="shared" si="1"/>
        <v>0.66666666666666663</v>
      </c>
      <c r="F15" s="84">
        <f>IF(_Ov_Ophthalmology!F15&lt;&gt;"",_Ov_Ophthalmology!F15,SUM(Vancouver!F15))</f>
        <v>0</v>
      </c>
      <c r="G15" s="85">
        <f>IF(_Ov_Ophthalmology!G15&lt;&gt;"",_Ov_Ophthalmology!G15,SUM(Vancouver!G15))</f>
        <v>0</v>
      </c>
      <c r="H15" s="157" t="str">
        <f t="shared" si="2"/>
        <v/>
      </c>
      <c r="I15" s="154">
        <f>IF(_Ov_Ophthalmology!I15&lt;&gt;"",_Ov_Ophthalmology!I15,SUM(Vancouver!I15))</f>
        <v>0</v>
      </c>
      <c r="J15" s="154">
        <f>IF(_Ov_Ophthalmology!J15&lt;&gt;"",_Ov_Ophthalmology!J15,SUM(Vancouver!J15))</f>
        <v>0</v>
      </c>
      <c r="K15" s="154" t="str">
        <f>IF(_Ov_Ophthalmology!K15&lt;&gt;"",_Ov_Ophthalmology!K15,IFERROR(Vancouver!BA15/Vancouver!AZ15,""))</f>
        <v/>
      </c>
      <c r="L15" s="91">
        <f>IF(_Ov_Ophthalmology!L15&lt;&gt;"",_Ov_Ophthalmology!L15,SUM(Vancouver!L15))</f>
        <v>0</v>
      </c>
      <c r="M15" s="89">
        <f>IF(_Ov_Ophthalmology!M15&lt;&gt;"",_Ov_Ophthalmology!M15,SUM(Vancouver!M15))</f>
        <v>0</v>
      </c>
      <c r="N15" s="89">
        <f>IF(_Ov_Ophthalmology!N15&lt;&gt;"",_Ov_Ophthalmology!N15,SUM(Vancouver!N15))</f>
        <v>0</v>
      </c>
      <c r="O15" s="91">
        <f>IF(_Ov_Ophthalmology!O15&lt;&gt;"",_Ov_Ophthalmology!O15,SUM(Vancouver!O15))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3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25">
      <c r="A16" s="20"/>
      <c r="B16" s="62">
        <f>EDATE(DATE(_Setup!$B$4,10,1),ROW()-ROW($B$11))</f>
        <v>46082</v>
      </c>
      <c r="C16" s="81">
        <f>IF(_Ov_Ophthalmology!C16&lt;&gt;"",_Ov_Ophthalmology!C16,SUM(Vancouver!C16))</f>
        <v>12</v>
      </c>
      <c r="D16" s="82">
        <f>IF(_Ov_Ophthalmology!D16&lt;&gt;"",_Ov_Ophthalmology!D16,SUM(Vancouver!D16))</f>
        <v>11</v>
      </c>
      <c r="E16" s="83">
        <f t="shared" si="1"/>
        <v>0.91666666666666663</v>
      </c>
      <c r="F16" s="84">
        <f>IF(_Ov_Ophthalmology!F16&lt;&gt;"",_Ov_Ophthalmology!F16,SUM(Vancouver!F16))</f>
        <v>0</v>
      </c>
      <c r="G16" s="85">
        <f>IF(_Ov_Ophthalmology!G16&lt;&gt;"",_Ov_Ophthalmology!G16,SUM(Vancouver!G16))</f>
        <v>0</v>
      </c>
      <c r="H16" s="157" t="str">
        <f t="shared" si="2"/>
        <v/>
      </c>
      <c r="I16" s="154">
        <f>IF(_Ov_Ophthalmology!I16&lt;&gt;"",_Ov_Ophthalmology!I16,SUM(Vancouver!I16))</f>
        <v>0</v>
      </c>
      <c r="J16" s="154">
        <f>IF(_Ov_Ophthalmology!J16&lt;&gt;"",_Ov_Ophthalmology!J16,SUM(Vancouver!J16))</f>
        <v>0</v>
      </c>
      <c r="K16" s="154" t="str">
        <f>IF(_Ov_Ophthalmology!K16&lt;&gt;"",_Ov_Ophthalmology!K16,IFERROR(Vancouver!BA16/Vancouver!AZ16,""))</f>
        <v/>
      </c>
      <c r="L16" s="91">
        <f>IF(_Ov_Ophthalmology!L16&lt;&gt;"",_Ov_Ophthalmology!L16,SUM(Vancouver!L16))</f>
        <v>0</v>
      </c>
      <c r="M16" s="89">
        <f>IF(_Ov_Ophthalmology!M16&lt;&gt;"",_Ov_Ophthalmology!M16,SUM(Vancouver!M16))</f>
        <v>0</v>
      </c>
      <c r="N16" s="89">
        <f>IF(_Ov_Ophthalmology!N16&lt;&gt;"",_Ov_Ophthalmology!N16,SUM(Vancouver!N16))</f>
        <v>0</v>
      </c>
      <c r="O16" s="91">
        <f>IF(_Ov_Ophthalmology!O16&lt;&gt;"",_Ov_Ophthalmology!O16,SUM(Vancouver!O16))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3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25">
      <c r="A17" s="20"/>
      <c r="B17" s="62">
        <f>EDATE(DATE(_Setup!$B$4,10,1),ROW()-ROW($B$11))</f>
        <v>46113</v>
      </c>
      <c r="C17" s="81">
        <f>IF(_Ov_Ophthalmology!C17&lt;&gt;"",_Ov_Ophthalmology!C17,SUM(Vancouver!C17))</f>
        <v>11</v>
      </c>
      <c r="D17" s="82">
        <f>IF(_Ov_Ophthalmology!D17&lt;&gt;"",_Ov_Ophthalmology!D17,SUM(Vancouver!D17))</f>
        <v>10</v>
      </c>
      <c r="E17" s="83">
        <f t="shared" si="1"/>
        <v>0.90909090909090906</v>
      </c>
      <c r="F17" s="84">
        <f>IF(_Ov_Ophthalmology!F17&lt;&gt;"",_Ov_Ophthalmology!F17,SUM(Vancouver!F17))</f>
        <v>0</v>
      </c>
      <c r="G17" s="85">
        <f>IF(_Ov_Ophthalmology!G17&lt;&gt;"",_Ov_Ophthalmology!G17,SUM(Vancouver!G17))</f>
        <v>0</v>
      </c>
      <c r="H17" s="157" t="str">
        <f t="shared" si="2"/>
        <v/>
      </c>
      <c r="I17" s="154">
        <f>IF(_Ov_Ophthalmology!I17&lt;&gt;"",_Ov_Ophthalmology!I17,SUM(Vancouver!I17))</f>
        <v>0</v>
      </c>
      <c r="J17" s="154">
        <f>IF(_Ov_Ophthalmology!J17&lt;&gt;"",_Ov_Ophthalmology!J17,SUM(Vancouver!J17))</f>
        <v>0</v>
      </c>
      <c r="K17" s="154" t="str">
        <f>IF(_Ov_Ophthalmology!K17&lt;&gt;"",_Ov_Ophthalmology!K17,IFERROR(Vancouver!BA17/Vancouver!AZ17,""))</f>
        <v/>
      </c>
      <c r="L17" s="91">
        <f>IF(_Ov_Ophthalmology!L17&lt;&gt;"",_Ov_Ophthalmology!L17,SUM(Vancouver!L17))</f>
        <v>0</v>
      </c>
      <c r="M17" s="89">
        <f>IF(_Ov_Ophthalmology!M17&lt;&gt;"",_Ov_Ophthalmology!M17,SUM(Vancouver!M17))</f>
        <v>0</v>
      </c>
      <c r="N17" s="89">
        <f>IF(_Ov_Ophthalmology!N17&lt;&gt;"",_Ov_Ophthalmology!N17,SUM(Vancouver!N17))</f>
        <v>0</v>
      </c>
      <c r="O17" s="91">
        <f>IF(_Ov_Ophthalmology!O17&lt;&gt;"",_Ov_Ophthalmology!O17,SUM(Vancouver!O17))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3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25">
      <c r="A18" s="20"/>
      <c r="B18" s="62">
        <f>EDATE(DATE(_Setup!$B$4,10,1),ROW()-ROW($B$11))</f>
        <v>46143</v>
      </c>
      <c r="C18" s="81">
        <f>IF(_Ov_Ophthalmology!C18&lt;&gt;"",_Ov_Ophthalmology!C18,SUM(Vancouver!C18))</f>
        <v>5</v>
      </c>
      <c r="D18" s="82">
        <f>IF(_Ov_Ophthalmology!D18&lt;&gt;"",_Ov_Ophthalmology!D18,SUM(Vancouver!D18))</f>
        <v>5</v>
      </c>
      <c r="E18" s="83">
        <f t="shared" si="1"/>
        <v>1</v>
      </c>
      <c r="F18" s="84">
        <f>IF(_Ov_Ophthalmology!F18&lt;&gt;"",_Ov_Ophthalmology!F18,SUM(Vancouver!F18))</f>
        <v>0</v>
      </c>
      <c r="G18" s="85">
        <f>IF(_Ov_Ophthalmology!G18&lt;&gt;"",_Ov_Ophthalmology!G18,SUM(Vancouver!G18))</f>
        <v>0</v>
      </c>
      <c r="H18" s="157" t="str">
        <f t="shared" si="2"/>
        <v/>
      </c>
      <c r="I18" s="154">
        <f>IF(_Ov_Ophthalmology!I18&lt;&gt;"",_Ov_Ophthalmology!I18,SUM(Vancouver!I18))</f>
        <v>0</v>
      </c>
      <c r="J18" s="154">
        <f>IF(_Ov_Ophthalmology!J18&lt;&gt;"",_Ov_Ophthalmology!J18,SUM(Vancouver!J18))</f>
        <v>0</v>
      </c>
      <c r="K18" s="154" t="str">
        <f>IF(_Ov_Ophthalmology!K18&lt;&gt;"",_Ov_Ophthalmology!K18,IFERROR(Vancouver!BA18/Vancouver!AZ18,""))</f>
        <v/>
      </c>
      <c r="L18" s="91">
        <f>IF(_Ov_Ophthalmology!L18&lt;&gt;"",_Ov_Ophthalmology!L18,SUM(Vancouver!L18))</f>
        <v>0</v>
      </c>
      <c r="M18" s="89">
        <f>IF(_Ov_Ophthalmology!M18&lt;&gt;"",_Ov_Ophthalmology!M18,SUM(Vancouver!M18))</f>
        <v>0</v>
      </c>
      <c r="N18" s="89">
        <f>IF(_Ov_Ophthalmology!N18&lt;&gt;"",_Ov_Ophthalmology!N18,SUM(Vancouver!N18))</f>
        <v>0</v>
      </c>
      <c r="O18" s="91">
        <f>IF(_Ov_Ophthalmology!O18&lt;&gt;"",_Ov_Ophthalmology!O18,SUM(Vancouver!O18))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3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25">
      <c r="A19" s="20"/>
      <c r="B19" s="62">
        <f>EDATE(DATE(_Setup!$B$4,10,1),ROW()-ROW($B$11))</f>
        <v>46174</v>
      </c>
      <c r="C19" s="81">
        <f>IF(_Ov_Ophthalmology!C19&lt;&gt;"",_Ov_Ophthalmology!C19,SUM(Vancouver!C19))</f>
        <v>4</v>
      </c>
      <c r="D19" s="82">
        <f>IF(_Ov_Ophthalmology!D19&lt;&gt;"",_Ov_Ophthalmology!D19,SUM(Vancouver!D19))</f>
        <v>4</v>
      </c>
      <c r="E19" s="83">
        <f t="shared" si="1"/>
        <v>1</v>
      </c>
      <c r="F19" s="84">
        <f>IF(_Ov_Ophthalmology!F19&lt;&gt;"",_Ov_Ophthalmology!F19,SUM(Vancouver!F19))</f>
        <v>0</v>
      </c>
      <c r="G19" s="85">
        <f>IF(_Ov_Ophthalmology!G19&lt;&gt;"",_Ov_Ophthalmology!G19,SUM(Vancouver!G19))</f>
        <v>0</v>
      </c>
      <c r="H19" s="157" t="str">
        <f t="shared" si="2"/>
        <v/>
      </c>
      <c r="I19" s="154">
        <f>IF(_Ov_Ophthalmology!I19&lt;&gt;"",_Ov_Ophthalmology!I19,SUM(Vancouver!I19))</f>
        <v>0</v>
      </c>
      <c r="J19" s="154">
        <f>IF(_Ov_Ophthalmology!J19&lt;&gt;"",_Ov_Ophthalmology!J19,SUM(Vancouver!J19))</f>
        <v>0</v>
      </c>
      <c r="K19" s="154" t="str">
        <f>IF(_Ov_Ophthalmology!K19&lt;&gt;"",_Ov_Ophthalmology!K19,IFERROR(Vancouver!BA19/Vancouver!AZ19,""))</f>
        <v/>
      </c>
      <c r="L19" s="91">
        <f>IF(_Ov_Ophthalmology!L19&lt;&gt;"",_Ov_Ophthalmology!L19,SUM(Vancouver!L19))</f>
        <v>0</v>
      </c>
      <c r="M19" s="89">
        <f>IF(_Ov_Ophthalmology!M19&lt;&gt;"",_Ov_Ophthalmology!M19,SUM(Vancouver!M19))</f>
        <v>0</v>
      </c>
      <c r="N19" s="89">
        <f>IF(_Ov_Ophthalmology!N19&lt;&gt;"",_Ov_Ophthalmology!N19,SUM(Vancouver!N19))</f>
        <v>0</v>
      </c>
      <c r="O19" s="91">
        <f>IF(_Ov_Ophthalmology!O19&lt;&gt;"",_Ov_Ophthalmology!O19,SUM(Vancouver!O19))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3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25">
      <c r="A20" s="20"/>
      <c r="B20" s="62">
        <f>EDATE(DATE(_Setup!$B$4,10,1),ROW()-ROW($B$11))</f>
        <v>46204</v>
      </c>
      <c r="C20" s="81">
        <f>IF(_Ov_Ophthalmology!C20&lt;&gt;"",_Ov_Ophthalmology!C20,SUM(Vancouver!C20))</f>
        <v>0</v>
      </c>
      <c r="D20" s="82">
        <f>IF(_Ov_Ophthalmology!D20&lt;&gt;"",_Ov_Ophthalmology!D20,SUM(Vancouver!D20))</f>
        <v>0</v>
      </c>
      <c r="E20" s="83" t="str">
        <f t="shared" si="1"/>
        <v/>
      </c>
      <c r="F20" s="84">
        <f>IF(_Ov_Ophthalmology!F20&lt;&gt;"",_Ov_Ophthalmology!F20,SUM(Vancouver!F20))</f>
        <v>0</v>
      </c>
      <c r="G20" s="85">
        <f>IF(_Ov_Ophthalmology!G20&lt;&gt;"",_Ov_Ophthalmology!G20,SUM(Vancouver!G20))</f>
        <v>0</v>
      </c>
      <c r="H20" s="157" t="str">
        <f t="shared" si="2"/>
        <v/>
      </c>
      <c r="I20" s="154">
        <f>IF(_Ov_Ophthalmology!I20&lt;&gt;"",_Ov_Ophthalmology!I20,SUM(Vancouver!I20))</f>
        <v>0</v>
      </c>
      <c r="J20" s="154">
        <f>IF(_Ov_Ophthalmology!J20&lt;&gt;"",_Ov_Ophthalmology!J20,SUM(Vancouver!J20))</f>
        <v>0</v>
      </c>
      <c r="K20" s="154" t="str">
        <f>IF(_Ov_Ophthalmology!K20&lt;&gt;"",_Ov_Ophthalmology!K20,IFERROR(Vancouver!BA20/Vancouver!AZ20,""))</f>
        <v/>
      </c>
      <c r="L20" s="91">
        <f>IF(_Ov_Ophthalmology!L20&lt;&gt;"",_Ov_Ophthalmology!L20,SUM(Vancouver!L20))</f>
        <v>0</v>
      </c>
      <c r="M20" s="89">
        <f>IF(_Ov_Ophthalmology!M20&lt;&gt;"",_Ov_Ophthalmology!M20,SUM(Vancouver!M20))</f>
        <v>0</v>
      </c>
      <c r="N20" s="89">
        <f>IF(_Ov_Ophthalmology!N20&lt;&gt;"",_Ov_Ophthalmology!N20,SUM(Vancouver!N20))</f>
        <v>0</v>
      </c>
      <c r="O20" s="91">
        <f>IF(_Ov_Ophthalmology!O20&lt;&gt;"",_Ov_Ophthalmology!O20,SUM(Vancouver!O20))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25">
      <c r="A21" s="20"/>
      <c r="B21" s="62">
        <f>EDATE(DATE(_Setup!$B$4,10,1),ROW()-ROW($B$11))</f>
        <v>46235</v>
      </c>
      <c r="C21" s="81">
        <f>IF(_Ov_Ophthalmology!C21&lt;&gt;"",_Ov_Ophthalmology!C21,SUM(Vancouver!C21))</f>
        <v>0</v>
      </c>
      <c r="D21" s="82">
        <f>IF(_Ov_Ophthalmology!D21&lt;&gt;"",_Ov_Ophthalmology!D21,SUM(Vancouver!D21))</f>
        <v>0</v>
      </c>
      <c r="E21" s="83" t="str">
        <f t="shared" si="1"/>
        <v/>
      </c>
      <c r="F21" s="84">
        <f>IF(_Ov_Ophthalmology!F21&lt;&gt;"",_Ov_Ophthalmology!F21,SUM(Vancouver!F21))</f>
        <v>0</v>
      </c>
      <c r="G21" s="85">
        <f>IF(_Ov_Ophthalmology!G21&lt;&gt;"",_Ov_Ophthalmology!G21,SUM(Vancouver!G21))</f>
        <v>0</v>
      </c>
      <c r="H21" s="157" t="str">
        <f t="shared" si="2"/>
        <v/>
      </c>
      <c r="I21" s="154">
        <f>IF(_Ov_Ophthalmology!I21&lt;&gt;"",_Ov_Ophthalmology!I21,SUM(Vancouver!I21))</f>
        <v>0</v>
      </c>
      <c r="J21" s="154">
        <f>IF(_Ov_Ophthalmology!J21&lt;&gt;"",_Ov_Ophthalmology!J21,SUM(Vancouver!J21))</f>
        <v>0</v>
      </c>
      <c r="K21" s="154" t="str">
        <f>IF(_Ov_Ophthalmology!K21&lt;&gt;"",_Ov_Ophthalmology!K21,IFERROR(Vancouver!BA21/Vancouver!AZ21,""))</f>
        <v/>
      </c>
      <c r="L21" s="91">
        <f>IF(_Ov_Ophthalmology!L21&lt;&gt;"",_Ov_Ophthalmology!L21,SUM(Vancouver!L21))</f>
        <v>0</v>
      </c>
      <c r="M21" s="89">
        <f>IF(_Ov_Ophthalmology!M21&lt;&gt;"",_Ov_Ophthalmology!M21,SUM(Vancouver!M21))</f>
        <v>0</v>
      </c>
      <c r="N21" s="89">
        <f>IF(_Ov_Ophthalmology!N21&lt;&gt;"",_Ov_Ophthalmology!N21,SUM(Vancouver!N21))</f>
        <v>0</v>
      </c>
      <c r="O21" s="91">
        <f>IF(_Ov_Ophthalmology!O21&lt;&gt;"",_Ov_Ophthalmology!O21,SUM(Vancouver!O21))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25">
      <c r="A22" s="20"/>
      <c r="B22" s="62">
        <f>EDATE(DATE(_Setup!$B$4,10,1),ROW()-ROW($B$11))</f>
        <v>46266</v>
      </c>
      <c r="C22" s="100">
        <f>IF(_Ov_Ophthalmology!C22&lt;&gt;"",_Ov_Ophthalmology!C22,SUM(Vancouver!C22))</f>
        <v>0</v>
      </c>
      <c r="D22" s="101">
        <f>IF(_Ov_Ophthalmology!D22&lt;&gt;"",_Ov_Ophthalmology!D22,SUM(Vancouver!D22))</f>
        <v>0</v>
      </c>
      <c r="E22" s="102" t="str">
        <f t="shared" si="1"/>
        <v/>
      </c>
      <c r="F22" s="103">
        <f>IF(_Ov_Ophthalmology!F22&lt;&gt;"",_Ov_Ophthalmology!F22,SUM(Vancouver!F22))</f>
        <v>0</v>
      </c>
      <c r="G22" s="104">
        <f>IF(_Ov_Ophthalmology!G22&lt;&gt;"",_Ov_Ophthalmology!G22,SUM(Vancouver!G22))</f>
        <v>0</v>
      </c>
      <c r="H22" s="161" t="str">
        <f t="shared" si="2"/>
        <v/>
      </c>
      <c r="I22" s="162">
        <f>IF(_Ov_Ophthalmology!I22&lt;&gt;"",_Ov_Ophthalmology!I22,SUM(Vancouver!I22))</f>
        <v>0</v>
      </c>
      <c r="J22" s="162">
        <f>IF(_Ov_Ophthalmology!J22&lt;&gt;"",_Ov_Ophthalmology!J22,SUM(Vancouver!J22))</f>
        <v>0</v>
      </c>
      <c r="K22" s="162" t="str">
        <f>IF(_Ov_Ophthalmology!K22&lt;&gt;"",_Ov_Ophthalmology!K22,IFERROR(Vancouver!BA22/Vancouver!AZ22,""))</f>
        <v/>
      </c>
      <c r="L22" s="110">
        <f>IF(_Ov_Ophthalmology!L22&lt;&gt;"",_Ov_Ophthalmology!L22,SUM(Vancouver!L22))</f>
        <v>0</v>
      </c>
      <c r="M22" s="108">
        <f>IF(_Ov_Ophthalmology!M22&lt;&gt;"",_Ov_Ophthalmology!M22,SUM(Vancouver!M22))</f>
        <v>0</v>
      </c>
      <c r="N22" s="108">
        <f>IF(_Ov_Ophthalmology!N22&lt;&gt;"",_Ov_Ophthalmology!N22,SUM(Vancouver!N22))</f>
        <v>0</v>
      </c>
      <c r="O22" s="110">
        <f>IF(_Ov_Ophthalmology!O22&lt;&gt;"",_Ov_Ophthalmology!O22,SUM(Vancouver!O22))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25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25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25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25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25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25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25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25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25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25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25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25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25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25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25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25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25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25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25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25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25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25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25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25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25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25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25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25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25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25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25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25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25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25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25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25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25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25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25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25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25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25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25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25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25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25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U84"/>
  <sheetViews>
    <sheetView workbookViewId="0"/>
  </sheetViews>
  <sheetFormatPr defaultRowHeight="15" x14ac:dyDescent="0.25"/>
  <cols>
    <col min="49" max="49" width="11.28515625" customWidth="1"/>
  </cols>
  <sheetData>
    <row r="1" spans="1:47" ht="15" customHeight="1" x14ac:dyDescent="0.25">
      <c r="A1" s="1" t="s">
        <v>151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25">
      <c r="A2" s="1"/>
      <c r="B2" s="3"/>
      <c r="C2" s="277" t="s">
        <v>0</v>
      </c>
      <c r="D2" s="253"/>
      <c r="E2" s="253"/>
      <c r="F2" s="253"/>
      <c r="G2" s="279" t="s">
        <v>1</v>
      </c>
      <c r="H2" s="253"/>
      <c r="I2" s="253"/>
      <c r="J2" s="253"/>
      <c r="K2" s="280" t="s">
        <v>2</v>
      </c>
      <c r="L2" s="253"/>
      <c r="M2" s="253"/>
      <c r="N2" s="281" t="s">
        <v>3</v>
      </c>
      <c r="O2" s="253"/>
      <c r="P2" s="278" t="s">
        <v>43</v>
      </c>
      <c r="Q2" s="253"/>
      <c r="R2" s="253"/>
      <c r="S2" s="282" t="s">
        <v>44</v>
      </c>
      <c r="T2" s="253"/>
      <c r="U2" s="253"/>
      <c r="V2" s="275" t="s">
        <v>45</v>
      </c>
      <c r="W2" s="253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25">
      <c r="A3" s="1"/>
      <c r="B3" s="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25">
      <c r="A4" s="1"/>
      <c r="B4" s="3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25">
      <c r="A5" s="1"/>
      <c r="B5" s="6" t="s">
        <v>11</v>
      </c>
      <c r="C5" s="7"/>
      <c r="D5" s="8"/>
      <c r="E5" s="9">
        <f>SUM(E11:E22)</f>
        <v>6.0243152028395821</v>
      </c>
      <c r="F5" s="10">
        <f>SUM(F11:F22)</f>
        <v>3</v>
      </c>
      <c r="G5" s="11">
        <f>SUM(G11:G22)</f>
        <v>3</v>
      </c>
      <c r="H5" s="12"/>
      <c r="I5" s="9">
        <f>SUM(I11:I22)</f>
        <v>2</v>
      </c>
      <c r="J5" s="13">
        <f>SUM(J11:J22)</f>
        <v>16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25">
      <c r="A6" s="1"/>
      <c r="B6" s="6" t="s">
        <v>13</v>
      </c>
      <c r="C6" s="21" t="s">
        <v>47</v>
      </c>
      <c r="D6" s="22" t="s">
        <v>47</v>
      </c>
      <c r="E6" s="23">
        <f>AVERAGE(E11:E22)</f>
        <v>0.66936835587106469</v>
      </c>
      <c r="F6" s="24">
        <f>AVERAGE(F11:F22)</f>
        <v>0.25</v>
      </c>
      <c r="G6" s="25">
        <f>AVERAGE(G11:G22)</f>
        <v>0.25</v>
      </c>
      <c r="H6" s="26" t="s">
        <v>47</v>
      </c>
      <c r="I6" s="27">
        <f>AVERAGE(I11:I22)</f>
        <v>0.16666666666666666</v>
      </c>
      <c r="J6" s="28">
        <f>AVERAGE(J11:J22)</f>
        <v>1.3333333333333333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>
        <f t="shared" si="1"/>
        <v>0</v>
      </c>
      <c r="O6" s="28">
        <f t="shared" si="1"/>
        <v>0</v>
      </c>
      <c r="P6" s="32">
        <f t="shared" si="1"/>
        <v>4.25</v>
      </c>
      <c r="Q6" s="33">
        <f t="shared" si="1"/>
        <v>11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25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25">
      <c r="A8" s="1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7" t="s">
        <v>23</v>
      </c>
      <c r="L8" s="263" t="s">
        <v>24</v>
      </c>
      <c r="M8" s="271" t="s">
        <v>25</v>
      </c>
      <c r="N8" s="264" t="s">
        <v>48</v>
      </c>
      <c r="O8" s="273" t="s">
        <v>49</v>
      </c>
      <c r="P8" s="274" t="s">
        <v>18</v>
      </c>
      <c r="Q8" s="274" t="s">
        <v>50</v>
      </c>
      <c r="R8" s="274" t="s">
        <v>51</v>
      </c>
      <c r="S8" s="272" t="s">
        <v>52</v>
      </c>
      <c r="T8" s="272" t="s">
        <v>53</v>
      </c>
      <c r="U8" s="272" t="s">
        <v>54</v>
      </c>
      <c r="V8" s="276" t="s">
        <v>55</v>
      </c>
      <c r="W8" s="27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25">
      <c r="A9" s="1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25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3"/>
      <c r="T10" s="253"/>
      <c r="U10" s="253"/>
      <c r="V10" s="253"/>
      <c r="W10" s="253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25">
      <c r="A11" s="1"/>
      <c r="B11" s="62">
        <f>EDATE(DATE(_Setup!$B$4,10,1),ROW()-ROW($B$11))</f>
        <v>45931</v>
      </c>
      <c r="C11" s="63">
        <f>IF(_Ov_Optometry!C11&lt;&gt;"",_Ov_Optometry!C11,SUM(_Sys_Vancouver_Optom!C11))</f>
        <v>71</v>
      </c>
      <c r="D11" s="64">
        <f>IF(_Ov_Optometry!D11&lt;&gt;"",_Ov_Optometry!D11,SUM(_Sys_Vancouver_Optom!D11))</f>
        <v>38</v>
      </c>
      <c r="E11" s="65">
        <f t="shared" ref="E11:E22" si="2">IFERROR(D11/C11,"")</f>
        <v>0.53521126760563376</v>
      </c>
      <c r="F11" s="66">
        <f>IF(_Ov_Optometry!F11&lt;&gt;"",_Ov_Optometry!F11,SUM(_Sys_Vancouver_Optom!F11))</f>
        <v>0</v>
      </c>
      <c r="G11" s="67">
        <f>IF(_Ov_Optometry!G11&lt;&gt;"",_Ov_Optometry!G11,SUM(_Sys_Vancouver_Optom!G11))</f>
        <v>0</v>
      </c>
      <c r="H11" s="68" t="str">
        <f t="shared" ref="H11:H22" si="3">IFERROR(G11/F11,"")</f>
        <v/>
      </c>
      <c r="I11" s="69">
        <f>IF(_Ov_Optometry!I11&lt;&gt;"",_Ov_Optometry!I11,SUM(_Sys_Vancouver_Optom!I11))</f>
        <v>1</v>
      </c>
      <c r="J11" s="70">
        <f>IF(_Ov_Optometry!J11&lt;&gt;"",_Ov_Optometry!J11,SUM(_Sys_Vancouver_Optom!J11))</f>
        <v>8</v>
      </c>
      <c r="K11" s="71" t="str">
        <f>IF(_Ov_Optometry!K11&lt;&gt;"",_Ov_Optometry!K11,IFERROR(Vancouver!BA11/Vancouver!AZ11,""))</f>
        <v/>
      </c>
      <c r="L11" s="72">
        <f>IF(_Ov_Optometry!L11&lt;&gt;"",_Ov_Optometry!L11,SUM(Vancouver!L11))</f>
        <v>0</v>
      </c>
      <c r="M11" s="73">
        <f>IF(_Ov_Optometry!M11&lt;&gt;"",_Ov_Optometry!M11,SUM(Vancouver!M11))</f>
        <v>0</v>
      </c>
      <c r="N11" s="71">
        <f>IF(_Ov_Optometry!N11&lt;&gt;"",_Ov_Optometry!N11,SUM(Vancouver!N11))</f>
        <v>0</v>
      </c>
      <c r="O11" s="73">
        <f>IF(_Ov_Optometry!O11&lt;&gt;"",_Ov_Optometry!O11,SUM(Vancouver!O11))</f>
        <v>0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4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25">
      <c r="A12" s="1"/>
      <c r="B12" s="62">
        <f>EDATE(DATE(_Setup!$B$4,10,1),ROW()-ROW($B$11))</f>
        <v>45962</v>
      </c>
      <c r="C12" s="81">
        <f>IF(_Ov_Optometry!C12&lt;&gt;"",_Ov_Optometry!C12,SUM(_Sys_Vancouver_Optom!C12))</f>
        <v>55</v>
      </c>
      <c r="D12" s="82">
        <f>IF(_Ov_Optometry!D12&lt;&gt;"",_Ov_Optometry!D12,SUM(_Sys_Vancouver_Optom!D12))</f>
        <v>20</v>
      </c>
      <c r="E12" s="83">
        <f t="shared" si="2"/>
        <v>0.36363636363636365</v>
      </c>
      <c r="F12" s="84">
        <f>IF(_Ov_Optometry!F12&lt;&gt;"",_Ov_Optometry!F12,SUM(_Sys_Vancouver_Optom!F12))</f>
        <v>0</v>
      </c>
      <c r="G12" s="85">
        <f>IF(_Ov_Optometry!G12&lt;&gt;"",_Ov_Optometry!G12,SUM(_Sys_Vancouver_Optom!G12))</f>
        <v>0</v>
      </c>
      <c r="H12" s="86" t="str">
        <f t="shared" si="3"/>
        <v/>
      </c>
      <c r="I12" s="87">
        <f>IF(_Ov_Optometry!I12&lt;&gt;"",_Ov_Optometry!I12,SUM(_Sys_Vancouver_Optom!I12))</f>
        <v>0</v>
      </c>
      <c r="J12" s="88">
        <f>IF(_Ov_Optometry!J12&lt;&gt;"",_Ov_Optometry!J12,SUM(_Sys_Vancouver_Optom!J12))</f>
        <v>0</v>
      </c>
      <c r="K12" s="89" t="str">
        <f>IF(_Ov_Optometry!K12&lt;&gt;"",_Ov_Optometry!K12,IFERROR(Vancouver!BA12/Vancouver!AZ12,""))</f>
        <v/>
      </c>
      <c r="L12" s="90">
        <f>IF(_Ov_Optometry!L12&lt;&gt;"",_Ov_Optometry!L12,SUM(Vancouver!L12))</f>
        <v>0</v>
      </c>
      <c r="M12" s="91">
        <f>IF(_Ov_Optometry!M12&lt;&gt;"",_Ov_Optometry!M12,SUM(Vancouver!M12))</f>
        <v>0</v>
      </c>
      <c r="N12" s="89">
        <f>IF(_Ov_Optometry!N12&lt;&gt;"",_Ov_Optometry!N12,SUM(Vancouver!N12))</f>
        <v>0</v>
      </c>
      <c r="O12" s="91">
        <f>IF(_Ov_Optometry!O12&lt;&gt;"",_Ov_Optometry!O12,SUM(Vancouver!O12))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4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25">
      <c r="A13" s="1"/>
      <c r="B13" s="62">
        <f>EDATE(DATE(_Setup!$B$4,10,1),ROW()-ROW($B$11))</f>
        <v>45992</v>
      </c>
      <c r="C13" s="81">
        <f>IF(_Ov_Optometry!C13&lt;&gt;"",_Ov_Optometry!C13,SUM(_Sys_Vancouver_Optom!C13))</f>
        <v>61</v>
      </c>
      <c r="D13" s="82">
        <f>IF(_Ov_Optometry!D13&lt;&gt;"",_Ov_Optometry!D13,SUM(_Sys_Vancouver_Optom!D13))</f>
        <v>24</v>
      </c>
      <c r="E13" s="83">
        <f t="shared" si="2"/>
        <v>0.39344262295081966</v>
      </c>
      <c r="F13" s="84">
        <f>IF(_Ov_Optometry!F13&lt;&gt;"",_Ov_Optometry!F13,SUM(_Sys_Vancouver_Optom!F13))</f>
        <v>0</v>
      </c>
      <c r="G13" s="85">
        <f>IF(_Ov_Optometry!G13&lt;&gt;"",_Ov_Optometry!G13,SUM(_Sys_Vancouver_Optom!G13))</f>
        <v>0</v>
      </c>
      <c r="H13" s="86" t="str">
        <f t="shared" si="3"/>
        <v/>
      </c>
      <c r="I13" s="87">
        <f>IF(_Ov_Optometry!I13&lt;&gt;"",_Ov_Optometry!I13,SUM(_Sys_Vancouver_Optom!I13))</f>
        <v>0</v>
      </c>
      <c r="J13" s="88">
        <f>IF(_Ov_Optometry!J13&lt;&gt;"",_Ov_Optometry!J13,SUM(_Sys_Vancouver_Optom!J13))</f>
        <v>0</v>
      </c>
      <c r="K13" s="89" t="str">
        <f>IF(_Ov_Optometry!K13&lt;&gt;"",_Ov_Optometry!K13,IFERROR(Vancouver!BA13/Vancouver!AZ13,""))</f>
        <v/>
      </c>
      <c r="L13" s="90">
        <f>IF(_Ov_Optometry!L13&lt;&gt;"",_Ov_Optometry!L13,SUM(Vancouver!L13))</f>
        <v>0</v>
      </c>
      <c r="M13" s="91">
        <f>IF(_Ov_Optometry!M13&lt;&gt;"",_Ov_Optometry!M13,SUM(Vancouver!M13))</f>
        <v>0</v>
      </c>
      <c r="N13" s="89">
        <f>IF(_Ov_Optometry!N13&lt;&gt;"",_Ov_Optometry!N13,SUM(Vancouver!N13))</f>
        <v>0</v>
      </c>
      <c r="O13" s="91">
        <f>IF(_Ov_Optometry!O13&lt;&gt;"",_Ov_Optometry!O13,SUM(Vancouver!O13))</f>
        <v>0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4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25">
      <c r="A14" s="1"/>
      <c r="B14" s="62">
        <f>EDATE(DATE(_Setup!$B$4,10,1),ROW()-ROW($B$11))</f>
        <v>46023</v>
      </c>
      <c r="C14" s="81">
        <f>IF(_Ov_Optometry!C14&lt;&gt;"",_Ov_Optometry!C14,SUM(_Sys_Vancouver_Optom!C14))</f>
        <v>64</v>
      </c>
      <c r="D14" s="82">
        <f>IF(_Ov_Optometry!D14&lt;&gt;"",_Ov_Optometry!D14,SUM(_Sys_Vancouver_Optom!D14))</f>
        <v>33</v>
      </c>
      <c r="E14" s="83">
        <f t="shared" si="2"/>
        <v>0.515625</v>
      </c>
      <c r="F14" s="84">
        <f>IF(_Ov_Optometry!F14&lt;&gt;"",_Ov_Optometry!F14,SUM(_Sys_Vancouver_Optom!F14))</f>
        <v>0</v>
      </c>
      <c r="G14" s="85">
        <f>IF(_Ov_Optometry!G14&lt;&gt;"",_Ov_Optometry!G14,SUM(_Sys_Vancouver_Optom!G14))</f>
        <v>0</v>
      </c>
      <c r="H14" s="86" t="str">
        <f t="shared" si="3"/>
        <v/>
      </c>
      <c r="I14" s="87">
        <f>IF(_Ov_Optometry!I14&lt;&gt;"",_Ov_Optometry!I14,SUM(_Sys_Vancouver_Optom!I14))</f>
        <v>1</v>
      </c>
      <c r="J14" s="88">
        <f>IF(_Ov_Optometry!J14&lt;&gt;"",_Ov_Optometry!J14,SUM(_Sys_Vancouver_Optom!J14))</f>
        <v>8</v>
      </c>
      <c r="K14" s="89" t="str">
        <f>IF(_Ov_Optometry!K14&lt;&gt;"",_Ov_Optometry!K14,IFERROR(Vancouver!BA14/Vancouver!AZ14,""))</f>
        <v/>
      </c>
      <c r="L14" s="90">
        <f>IF(_Ov_Optometry!L14&lt;&gt;"",_Ov_Optometry!L14,SUM(Vancouver!L14))</f>
        <v>0</v>
      </c>
      <c r="M14" s="91">
        <f>IF(_Ov_Optometry!M14&lt;&gt;"",_Ov_Optometry!M14,SUM(Vancouver!M14))</f>
        <v>0</v>
      </c>
      <c r="N14" s="89">
        <f>IF(_Ov_Optometry!N14&lt;&gt;"",_Ov_Optometry!N14,SUM(Vancouver!N14))</f>
        <v>0</v>
      </c>
      <c r="O14" s="91">
        <f>IF(_Ov_Optometry!O14&lt;&gt;"",_Ov_Optometry!O14,SUM(Vancouver!O14))</f>
        <v>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4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25">
      <c r="A15" s="1"/>
      <c r="B15" s="62">
        <f>EDATE(DATE(_Setup!$B$4,10,1),ROW()-ROW($B$11))</f>
        <v>46054</v>
      </c>
      <c r="C15" s="81">
        <f>IF(_Ov_Optometry!C15&lt;&gt;"",_Ov_Optometry!C15,SUM(_Sys_Vancouver_Optom!C15))</f>
        <v>59</v>
      </c>
      <c r="D15" s="82">
        <f>IF(_Ov_Optometry!D15&lt;&gt;"",_Ov_Optometry!D15,SUM(_Sys_Vancouver_Optom!D15))</f>
        <v>30</v>
      </c>
      <c r="E15" s="83">
        <f t="shared" si="2"/>
        <v>0.50847457627118642</v>
      </c>
      <c r="F15" s="84">
        <f>IF(_Ov_Optometry!F15&lt;&gt;"",_Ov_Optometry!F15,SUM(_Sys_Vancouver_Optom!F15))</f>
        <v>0</v>
      </c>
      <c r="G15" s="85">
        <f>IF(_Ov_Optometry!G15&lt;&gt;"",_Ov_Optometry!G15,SUM(_Sys_Vancouver_Optom!G15))</f>
        <v>0</v>
      </c>
      <c r="H15" s="86" t="str">
        <f t="shared" si="3"/>
        <v/>
      </c>
      <c r="I15" s="87">
        <f>IF(_Ov_Optometry!I15&lt;&gt;"",_Ov_Optometry!I15,SUM(_Sys_Vancouver_Optom!I15))</f>
        <v>0</v>
      </c>
      <c r="J15" s="88">
        <f>IF(_Ov_Optometry!J15&lt;&gt;"",_Ov_Optometry!J15,SUM(_Sys_Vancouver_Optom!J15))</f>
        <v>0</v>
      </c>
      <c r="K15" s="89" t="str">
        <f>IF(_Ov_Optometry!K15&lt;&gt;"",_Ov_Optometry!K15,IFERROR(Vancouver!BA15/Vancouver!AZ15,""))</f>
        <v/>
      </c>
      <c r="L15" s="90">
        <f>IF(_Ov_Optometry!L15&lt;&gt;"",_Ov_Optometry!L15,SUM(Vancouver!L15))</f>
        <v>0</v>
      </c>
      <c r="M15" s="91">
        <f>IF(_Ov_Optometry!M15&lt;&gt;"",_Ov_Optometry!M15,SUM(Vancouver!M15))</f>
        <v>0</v>
      </c>
      <c r="N15" s="89">
        <f>IF(_Ov_Optometry!N15&lt;&gt;"",_Ov_Optometry!N15,SUM(Vancouver!N15))</f>
        <v>0</v>
      </c>
      <c r="O15" s="91">
        <f>IF(_Ov_Optometry!O15&lt;&gt;"",_Ov_Optometry!O15,SUM(Vancouver!O15))</f>
        <v>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4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25">
      <c r="A16" s="1"/>
      <c r="B16" s="62">
        <f>EDATE(DATE(_Setup!$B$4,10,1),ROW()-ROW($B$11))</f>
        <v>46082</v>
      </c>
      <c r="C16" s="81">
        <f>IF(_Ov_Optometry!C16&lt;&gt;"",_Ov_Optometry!C16,SUM(_Sys_Vancouver_Optom!C16))</f>
        <v>79</v>
      </c>
      <c r="D16" s="82">
        <f>IF(_Ov_Optometry!D16&lt;&gt;"",_Ov_Optometry!D16,SUM(_Sys_Vancouver_Optom!D16))</f>
        <v>65</v>
      </c>
      <c r="E16" s="83">
        <f t="shared" si="2"/>
        <v>0.82278481012658233</v>
      </c>
      <c r="F16" s="84">
        <f>IF(_Ov_Optometry!F16&lt;&gt;"",_Ov_Optometry!F16,SUM(_Sys_Vancouver_Optom!F16))</f>
        <v>0</v>
      </c>
      <c r="G16" s="85">
        <f>IF(_Ov_Optometry!G16&lt;&gt;"",_Ov_Optometry!G16,SUM(_Sys_Vancouver_Optom!G16))</f>
        <v>0</v>
      </c>
      <c r="H16" s="86" t="str">
        <f t="shared" si="3"/>
        <v/>
      </c>
      <c r="I16" s="87">
        <f>IF(_Ov_Optometry!I16&lt;&gt;"",_Ov_Optometry!I16,SUM(_Sys_Vancouver_Optom!I16))</f>
        <v>0</v>
      </c>
      <c r="J16" s="88">
        <f>IF(_Ov_Optometry!J16&lt;&gt;"",_Ov_Optometry!J16,SUM(_Sys_Vancouver_Optom!J16))</f>
        <v>0</v>
      </c>
      <c r="K16" s="89" t="str">
        <f>IF(_Ov_Optometry!K16&lt;&gt;"",_Ov_Optometry!K16,IFERROR(Vancouver!BA16/Vancouver!AZ16,""))</f>
        <v/>
      </c>
      <c r="L16" s="90">
        <f>IF(_Ov_Optometry!L16&lt;&gt;"",_Ov_Optometry!L16,SUM(Vancouver!L16))</f>
        <v>0</v>
      </c>
      <c r="M16" s="91">
        <f>IF(_Ov_Optometry!M16&lt;&gt;"",_Ov_Optometry!M16,SUM(Vancouver!M16))</f>
        <v>0</v>
      </c>
      <c r="N16" s="89">
        <f>IF(_Ov_Optometry!N16&lt;&gt;"",_Ov_Optometry!N16,SUM(Vancouver!N16))</f>
        <v>0</v>
      </c>
      <c r="O16" s="91">
        <f>IF(_Ov_Optometry!O16&lt;&gt;"",_Ov_Optometry!O16,SUM(Vancouver!O16))</f>
        <v>0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4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25">
      <c r="A17" s="1"/>
      <c r="B17" s="62">
        <f>EDATE(DATE(_Setup!$B$4,10,1),ROW()-ROW($B$11))</f>
        <v>46113</v>
      </c>
      <c r="C17" s="81">
        <f>IF(_Ov_Optometry!C17&lt;&gt;"",_Ov_Optometry!C17,SUM(_Sys_Vancouver_Optom!C17))</f>
        <v>83</v>
      </c>
      <c r="D17" s="82">
        <f>IF(_Ov_Optometry!D17&lt;&gt;"",_Ov_Optometry!D17,SUM(_Sys_Vancouver_Optom!D17))</f>
        <v>79</v>
      </c>
      <c r="E17" s="83">
        <f t="shared" si="2"/>
        <v>0.95180722891566261</v>
      </c>
      <c r="F17" s="84">
        <f>IF(_Ov_Optometry!F17&lt;&gt;"",_Ov_Optometry!F17,SUM(_Sys_Vancouver_Optom!F17))</f>
        <v>1</v>
      </c>
      <c r="G17" s="85">
        <f>IF(_Ov_Optometry!G17&lt;&gt;"",_Ov_Optometry!G17,SUM(_Sys_Vancouver_Optom!G17))</f>
        <v>1</v>
      </c>
      <c r="H17" s="86">
        <f t="shared" si="3"/>
        <v>1</v>
      </c>
      <c r="I17" s="87">
        <f>IF(_Ov_Optometry!I17&lt;&gt;"",_Ov_Optometry!I17,SUM(_Sys_Vancouver_Optom!I17))</f>
        <v>0</v>
      </c>
      <c r="J17" s="88">
        <f>IF(_Ov_Optometry!J17&lt;&gt;"",_Ov_Optometry!J17,SUM(_Sys_Vancouver_Optom!J17))</f>
        <v>0</v>
      </c>
      <c r="K17" s="89" t="str">
        <f>IF(_Ov_Optometry!K17&lt;&gt;"",_Ov_Optometry!K17,IFERROR(Vancouver!BA17/Vancouver!AZ17,""))</f>
        <v/>
      </c>
      <c r="L17" s="90">
        <f>IF(_Ov_Optometry!L17&lt;&gt;"",_Ov_Optometry!L17,SUM(Vancouver!L17))</f>
        <v>0</v>
      </c>
      <c r="M17" s="91">
        <f>IF(_Ov_Optometry!M17&lt;&gt;"",_Ov_Optometry!M17,SUM(Vancouver!M17))</f>
        <v>0</v>
      </c>
      <c r="N17" s="89">
        <f>IF(_Ov_Optometry!N17&lt;&gt;"",_Ov_Optometry!N17,SUM(Vancouver!N17))</f>
        <v>0</v>
      </c>
      <c r="O17" s="91">
        <f>IF(_Ov_Optometry!O17&lt;&gt;"",_Ov_Optometry!O17,SUM(Vancouver!O17))</f>
        <v>0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4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25">
      <c r="A18" s="1"/>
      <c r="B18" s="62">
        <f>EDATE(DATE(_Setup!$B$4,10,1),ROW()-ROW($B$11))</f>
        <v>46143</v>
      </c>
      <c r="C18" s="81">
        <f>IF(_Ov_Optometry!C18&lt;&gt;"",_Ov_Optometry!C18,SUM(_Sys_Vancouver_Optom!C18))</f>
        <v>45</v>
      </c>
      <c r="D18" s="82">
        <f>IF(_Ov_Optometry!D18&lt;&gt;"",_Ov_Optometry!D18,SUM(_Sys_Vancouver_Optom!D18))</f>
        <v>42</v>
      </c>
      <c r="E18" s="83">
        <f t="shared" si="2"/>
        <v>0.93333333333333335</v>
      </c>
      <c r="F18" s="84">
        <f>IF(_Ov_Optometry!F18&lt;&gt;"",_Ov_Optometry!F18,SUM(_Sys_Vancouver_Optom!F18))</f>
        <v>2</v>
      </c>
      <c r="G18" s="85">
        <f>IF(_Ov_Optometry!G18&lt;&gt;"",_Ov_Optometry!G18,SUM(_Sys_Vancouver_Optom!G18))</f>
        <v>2</v>
      </c>
      <c r="H18" s="86">
        <f t="shared" si="3"/>
        <v>1</v>
      </c>
      <c r="I18" s="87">
        <f>IF(_Ov_Optometry!I18&lt;&gt;"",_Ov_Optometry!I18,SUM(_Sys_Vancouver_Optom!I18))</f>
        <v>0</v>
      </c>
      <c r="J18" s="88">
        <f>IF(_Ov_Optometry!J18&lt;&gt;"",_Ov_Optometry!J18,SUM(_Sys_Vancouver_Optom!J18))</f>
        <v>0</v>
      </c>
      <c r="K18" s="89" t="str">
        <f>IF(_Ov_Optometry!K18&lt;&gt;"",_Ov_Optometry!K18,IFERROR(Vancouver!BA18/Vancouver!AZ18,""))</f>
        <v/>
      </c>
      <c r="L18" s="90">
        <f>IF(_Ov_Optometry!L18&lt;&gt;"",_Ov_Optometry!L18,SUM(Vancouver!L18))</f>
        <v>0</v>
      </c>
      <c r="M18" s="91">
        <f>IF(_Ov_Optometry!M18&lt;&gt;"",_Ov_Optometry!M18,SUM(Vancouver!M18))</f>
        <v>0</v>
      </c>
      <c r="N18" s="89">
        <f>IF(_Ov_Optometry!N18&lt;&gt;"",_Ov_Optometry!N18,SUM(Vancouver!N18))</f>
        <v>0</v>
      </c>
      <c r="O18" s="91">
        <f>IF(_Ov_Optometry!O18&lt;&gt;"",_Ov_Optometry!O18,SUM(Vancouver!O18))</f>
        <v>0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4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25">
      <c r="A19" s="1"/>
      <c r="B19" s="62">
        <f>EDATE(DATE(_Setup!$B$4,10,1),ROW()-ROW($B$11))</f>
        <v>46174</v>
      </c>
      <c r="C19" s="81">
        <f>IF(_Ov_Optometry!C19&lt;&gt;"",_Ov_Optometry!C19,SUM(_Sys_Vancouver_Optom!C19))</f>
        <v>37</v>
      </c>
      <c r="D19" s="82">
        <f>IF(_Ov_Optometry!D19&lt;&gt;"",_Ov_Optometry!D19,SUM(_Sys_Vancouver_Optom!D19))</f>
        <v>37</v>
      </c>
      <c r="E19" s="83">
        <f t="shared" si="2"/>
        <v>1</v>
      </c>
      <c r="F19" s="84">
        <f>IF(_Ov_Optometry!F19&lt;&gt;"",_Ov_Optometry!F19,SUM(_Sys_Vancouver_Optom!F19))</f>
        <v>0</v>
      </c>
      <c r="G19" s="85">
        <f>IF(_Ov_Optometry!G19&lt;&gt;"",_Ov_Optometry!G19,SUM(_Sys_Vancouver_Optom!G19))</f>
        <v>0</v>
      </c>
      <c r="H19" s="86" t="str">
        <f t="shared" si="3"/>
        <v/>
      </c>
      <c r="I19" s="87">
        <f>IF(_Ov_Optometry!I19&lt;&gt;"",_Ov_Optometry!I19,SUM(_Sys_Vancouver_Optom!I19))</f>
        <v>0</v>
      </c>
      <c r="J19" s="88">
        <f>IF(_Ov_Optometry!J19&lt;&gt;"",_Ov_Optometry!J19,SUM(_Sys_Vancouver_Optom!J19))</f>
        <v>0</v>
      </c>
      <c r="K19" s="89" t="str">
        <f>IF(_Ov_Optometry!K19&lt;&gt;"",_Ov_Optometry!K19,IFERROR(Vancouver!BA19/Vancouver!AZ19,""))</f>
        <v/>
      </c>
      <c r="L19" s="90">
        <f>IF(_Ov_Optometry!L19&lt;&gt;"",_Ov_Optometry!L19,SUM(Vancouver!L19))</f>
        <v>0</v>
      </c>
      <c r="M19" s="91">
        <f>IF(_Ov_Optometry!M19&lt;&gt;"",_Ov_Optometry!M19,SUM(Vancouver!M19))</f>
        <v>0</v>
      </c>
      <c r="N19" s="89">
        <f>IF(_Ov_Optometry!N19&lt;&gt;"",_Ov_Optometry!N19,SUM(Vancouver!N19))</f>
        <v>0</v>
      </c>
      <c r="O19" s="91">
        <f>IF(_Ov_Optometry!O19&lt;&gt;"",_Ov_Optometry!O19,SUM(Vancouver!O19))</f>
        <v>0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4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25">
      <c r="A20" s="1"/>
      <c r="B20" s="62">
        <f>EDATE(DATE(_Setup!$B$4,10,1),ROW()-ROW($B$11))</f>
        <v>46204</v>
      </c>
      <c r="C20" s="81">
        <f>IF(_Ov_Optometry!C20&lt;&gt;"",_Ov_Optometry!C20,SUM(_Sys_Vancouver_Optom!C20))</f>
        <v>0</v>
      </c>
      <c r="D20" s="82">
        <f>IF(_Ov_Optometry!D20&lt;&gt;"",_Ov_Optometry!D20,SUM(_Sys_Vancouver_Optom!D20))</f>
        <v>0</v>
      </c>
      <c r="E20" s="83" t="str">
        <f t="shared" si="2"/>
        <v/>
      </c>
      <c r="F20" s="84">
        <f>IF(_Ov_Optometry!F20&lt;&gt;"",_Ov_Optometry!F20,SUM(_Sys_Vancouver_Optom!F20))</f>
        <v>0</v>
      </c>
      <c r="G20" s="85">
        <f>IF(_Ov_Optometry!G20&lt;&gt;"",_Ov_Optometry!G20,SUM(_Sys_Vancouver_Optom!G20))</f>
        <v>0</v>
      </c>
      <c r="H20" s="86" t="str">
        <f t="shared" si="3"/>
        <v/>
      </c>
      <c r="I20" s="87">
        <f>IF(_Ov_Optometry!I20&lt;&gt;"",_Ov_Optometry!I20,SUM(_Sys_Vancouver_Optom!I20))</f>
        <v>0</v>
      </c>
      <c r="J20" s="88">
        <f>IF(_Ov_Optometry!J20&lt;&gt;"",_Ov_Optometry!J20,SUM(_Sys_Vancouver_Optom!J20))</f>
        <v>0</v>
      </c>
      <c r="K20" s="89" t="str">
        <f>IF(_Ov_Optometry!K20&lt;&gt;"",_Ov_Optometry!K20,IFERROR(Vancouver!BA20/Vancouver!AZ20,""))</f>
        <v/>
      </c>
      <c r="L20" s="90">
        <f>IF(_Ov_Optometry!L20&lt;&gt;"",_Ov_Optometry!L20,SUM(Vancouver!L20))</f>
        <v>0</v>
      </c>
      <c r="M20" s="91">
        <f>IF(_Ov_Optometry!M20&lt;&gt;"",_Ov_Optometry!M20,SUM(Vancouver!M20))</f>
        <v>0</v>
      </c>
      <c r="N20" s="89">
        <f>IF(_Ov_Optometry!N20&lt;&gt;"",_Ov_Optometry!N20,SUM(Vancouver!N20))</f>
        <v>0</v>
      </c>
      <c r="O20" s="91">
        <f>IF(_Ov_Optometry!O20&lt;&gt;"",_Ov_Optometry!O20,SUM(Vancouver!O20))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25">
      <c r="A21" s="1"/>
      <c r="B21" s="62">
        <f>EDATE(DATE(_Setup!$B$4,10,1),ROW()-ROW($B$11))</f>
        <v>46235</v>
      </c>
      <c r="C21" s="81">
        <f>IF(_Ov_Optometry!C21&lt;&gt;"",_Ov_Optometry!C21,SUM(_Sys_Vancouver_Optom!C21))</f>
        <v>0</v>
      </c>
      <c r="D21" s="82">
        <f>IF(_Ov_Optometry!D21&lt;&gt;"",_Ov_Optometry!D21,SUM(_Sys_Vancouver_Optom!D21))</f>
        <v>0</v>
      </c>
      <c r="E21" s="83" t="str">
        <f t="shared" si="2"/>
        <v/>
      </c>
      <c r="F21" s="84">
        <f>IF(_Ov_Optometry!F21&lt;&gt;"",_Ov_Optometry!F21,SUM(_Sys_Vancouver_Optom!F21))</f>
        <v>0</v>
      </c>
      <c r="G21" s="85">
        <f>IF(_Ov_Optometry!G21&lt;&gt;"",_Ov_Optometry!G21,SUM(_Sys_Vancouver_Optom!G21))</f>
        <v>0</v>
      </c>
      <c r="H21" s="86" t="str">
        <f t="shared" si="3"/>
        <v/>
      </c>
      <c r="I21" s="87">
        <f>IF(_Ov_Optometry!I21&lt;&gt;"",_Ov_Optometry!I21,SUM(_Sys_Vancouver_Optom!I21))</f>
        <v>0</v>
      </c>
      <c r="J21" s="88">
        <f>IF(_Ov_Optometry!J21&lt;&gt;"",_Ov_Optometry!J21,SUM(_Sys_Vancouver_Optom!J21))</f>
        <v>0</v>
      </c>
      <c r="K21" s="89" t="str">
        <f>IF(_Ov_Optometry!K21&lt;&gt;"",_Ov_Optometry!K21,IFERROR(Vancouver!BA21/Vancouver!AZ21,""))</f>
        <v/>
      </c>
      <c r="L21" s="90">
        <f>IF(_Ov_Optometry!L21&lt;&gt;"",_Ov_Optometry!L21,SUM(Vancouver!L21))</f>
        <v>0</v>
      </c>
      <c r="M21" s="91">
        <f>IF(_Ov_Optometry!M21&lt;&gt;"",_Ov_Optometry!M21,SUM(Vancouver!M21))</f>
        <v>0</v>
      </c>
      <c r="N21" s="89">
        <f>IF(_Ov_Optometry!N21&lt;&gt;"",_Ov_Optometry!N21,SUM(Vancouver!N21))</f>
        <v>0</v>
      </c>
      <c r="O21" s="91">
        <f>IF(_Ov_Optometry!O21&lt;&gt;"",_Ov_Optometry!O21,SUM(Vancouver!O21))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25">
      <c r="A22" s="1"/>
      <c r="B22" s="62">
        <f>EDATE(DATE(_Setup!$B$4,10,1),ROW()-ROW($B$11))</f>
        <v>46266</v>
      </c>
      <c r="C22" s="100">
        <f>IF(_Ov_Optometry!C22&lt;&gt;"",_Ov_Optometry!C22,SUM(_Sys_Vancouver_Optom!C22))</f>
        <v>0</v>
      </c>
      <c r="D22" s="101">
        <f>IF(_Ov_Optometry!D22&lt;&gt;"",_Ov_Optometry!D22,SUM(_Sys_Vancouver_Optom!D22))</f>
        <v>0</v>
      </c>
      <c r="E22" s="102" t="str">
        <f t="shared" si="2"/>
        <v/>
      </c>
      <c r="F22" s="103">
        <f>IF(_Ov_Optometry!F22&lt;&gt;"",_Ov_Optometry!F22,SUM(_Sys_Vancouver_Optom!F22))</f>
        <v>0</v>
      </c>
      <c r="G22" s="104">
        <f>IF(_Ov_Optometry!G22&lt;&gt;"",_Ov_Optometry!G22,SUM(_Sys_Vancouver_Optom!G22))</f>
        <v>0</v>
      </c>
      <c r="H22" s="105" t="str">
        <f t="shared" si="3"/>
        <v/>
      </c>
      <c r="I22" s="106">
        <f>IF(_Ov_Optometry!I22&lt;&gt;"",_Ov_Optometry!I22,SUM(_Sys_Vancouver_Optom!I22))</f>
        <v>0</v>
      </c>
      <c r="J22" s="107">
        <f>IF(_Ov_Optometry!J22&lt;&gt;"",_Ov_Optometry!J22,SUM(_Sys_Vancouver_Optom!J22))</f>
        <v>0</v>
      </c>
      <c r="K22" s="108" t="str">
        <f>IF(_Ov_Optometry!K22&lt;&gt;"",_Ov_Optometry!K22,IFERROR(Vancouver!BA22/Vancouver!AZ22,""))</f>
        <v/>
      </c>
      <c r="L22" s="109">
        <f>IF(_Ov_Optometry!L22&lt;&gt;"",_Ov_Optometry!L22,SUM(Vancouver!L22))</f>
        <v>0</v>
      </c>
      <c r="M22" s="110">
        <f>IF(_Ov_Optometry!M22&lt;&gt;"",_Ov_Optometry!M22,SUM(Vancouver!M22))</f>
        <v>0</v>
      </c>
      <c r="N22" s="108">
        <f>IF(_Ov_Optometry!N22&lt;&gt;"",_Ov_Optometry!N22,SUM(Vancouver!N22))</f>
        <v>0</v>
      </c>
      <c r="O22" s="110">
        <f>IF(_Ov_Optometry!O22&lt;&gt;"",_Ov_Optometry!O22,SUM(Vancouver!O22))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25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25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Q74"/>
  <sheetViews>
    <sheetView workbookViewId="0"/>
  </sheetViews>
  <sheetFormatPr defaultRowHeight="15" x14ac:dyDescent="0.25"/>
  <cols>
    <col min="1" max="1" width="10.7109375" customWidth="1"/>
    <col min="14" max="14" width="10.7109375" customWidth="1"/>
    <col min="21" max="21" width="10.7109375" customWidth="1"/>
    <col min="26" max="26" width="10.7109375" customWidth="1"/>
  </cols>
  <sheetData>
    <row r="1" spans="1:43" ht="15" customHeight="1" x14ac:dyDescent="0.25">
      <c r="A1" s="20" t="s">
        <v>152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25">
      <c r="A2" s="20"/>
      <c r="B2" s="128"/>
      <c r="C2" s="252" t="s">
        <v>0</v>
      </c>
      <c r="D2" s="253"/>
      <c r="E2" s="253"/>
      <c r="F2" s="253"/>
      <c r="G2" s="266" t="s">
        <v>1</v>
      </c>
      <c r="H2" s="253"/>
      <c r="I2" s="253"/>
      <c r="J2" s="253"/>
      <c r="K2" s="253"/>
      <c r="L2" s="253"/>
      <c r="M2" s="269" t="s">
        <v>2</v>
      </c>
      <c r="N2" s="253"/>
      <c r="O2" s="253"/>
      <c r="P2" s="265" t="s">
        <v>3</v>
      </c>
      <c r="Q2" s="253"/>
      <c r="R2" s="129"/>
      <c r="S2" s="129"/>
      <c r="T2" s="129"/>
      <c r="U2" s="301"/>
      <c r="V2" s="253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20"/>
      <c r="B3" s="128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129"/>
      <c r="S3" s="129"/>
      <c r="T3" s="129"/>
      <c r="U3" s="253"/>
      <c r="V3" s="253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25">
      <c r="A4" s="20"/>
      <c r="B4" s="128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129"/>
      <c r="S4" s="129"/>
      <c r="T4" s="129"/>
      <c r="U4" s="253"/>
      <c r="V4" s="253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25">
      <c r="A5" s="20"/>
      <c r="B5" s="6" t="s">
        <v>11</v>
      </c>
      <c r="C5" s="7">
        <f t="shared" ref="C5:Q5" si="0">AVERAGE(C11:C22)</f>
        <v>5.5</v>
      </c>
      <c r="D5" s="7">
        <f t="shared" si="0"/>
        <v>4.666666666666667</v>
      </c>
      <c r="E5" s="131">
        <f t="shared" si="0"/>
        <v>0.78959435626102292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54.083333333333336</v>
      </c>
      <c r="M5" s="135">
        <f t="shared" si="0"/>
        <v>0.44473938141733527</v>
      </c>
      <c r="N5" s="14">
        <f t="shared" si="0"/>
        <v>1.4166666666666667</v>
      </c>
      <c r="O5" s="135">
        <f t="shared" si="0"/>
        <v>0</v>
      </c>
      <c r="P5" s="14">
        <f t="shared" si="0"/>
        <v>5</v>
      </c>
      <c r="Q5" s="136">
        <f t="shared" si="0"/>
        <v>0</v>
      </c>
      <c r="R5" s="306" t="s">
        <v>12</v>
      </c>
      <c r="S5" s="303"/>
      <c r="T5" s="304">
        <f>AVERAGE(T11:T12)</f>
        <v>0</v>
      </c>
      <c r="U5" s="137"/>
      <c r="V5" s="304">
        <f>AVERAGE(V11:V12)</f>
        <v>1.375</v>
      </c>
      <c r="W5" s="130"/>
      <c r="X5" s="304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25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7"/>
      <c r="S6" s="303"/>
      <c r="T6" s="305"/>
      <c r="U6" s="137"/>
      <c r="V6" s="305"/>
      <c r="W6" s="130"/>
      <c r="X6" s="305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25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2" t="s">
        <v>14</v>
      </c>
      <c r="S7" s="30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25">
      <c r="A8" s="20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5" t="s">
        <v>21</v>
      </c>
      <c r="L8" s="255" t="s">
        <v>22</v>
      </c>
      <c r="M8" s="257" t="s">
        <v>23</v>
      </c>
      <c r="N8" s="263" t="s">
        <v>24</v>
      </c>
      <c r="O8" s="271" t="s">
        <v>25</v>
      </c>
      <c r="P8" s="264" t="s">
        <v>26</v>
      </c>
      <c r="Q8" s="270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8" t="s">
        <v>147</v>
      </c>
      <c r="X8" s="253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25">
      <c r="A9" s="20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147"/>
      <c r="W9" s="253"/>
      <c r="X9" s="253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25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3"/>
      <c r="X10" s="253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25">
      <c r="A11" s="20"/>
      <c r="B11" s="62">
        <f>EDATE(DATE(_Setup!$B$4,10,1),ROW()-ROW($B$11))</f>
        <v>45931</v>
      </c>
      <c r="C11" s="63">
        <f>IF(_Ov_Ophthalmology!C11&lt;&gt;"",_Ov_Ophthalmology!C11,SUM(Salem!C11))</f>
        <v>7</v>
      </c>
      <c r="D11" s="64">
        <f>IF(_Ov_Ophthalmology!D11&lt;&gt;"",_Ov_Ophthalmology!D11,SUM(Salem!D11))</f>
        <v>5</v>
      </c>
      <c r="E11" s="65">
        <f t="shared" ref="E11:E22" si="1">IFERROR(D11/C11,"")</f>
        <v>0.7142857142857143</v>
      </c>
      <c r="F11" s="66">
        <f>IF(_Ov_Ophthalmology!F11&lt;&gt;"",_Ov_Ophthalmology!F11,SUM(Salem!F11))</f>
        <v>0</v>
      </c>
      <c r="G11" s="67">
        <f>IF(_Ov_Ophthalmology!G11&lt;&gt;"",_Ov_Ophthalmology!G11,SUM(Salem!G11))</f>
        <v>0</v>
      </c>
      <c r="H11" s="150" t="str">
        <f t="shared" ref="H11:H22" si="2">IFERROR(G11/F11,"")</f>
        <v/>
      </c>
      <c r="I11" s="151">
        <f>IF(_Ov_Ophthalmology!I11&lt;&gt;"",_Ov_Ophthalmology!I11,SUM(Salem!I11))</f>
        <v>0</v>
      </c>
      <c r="J11" s="151">
        <f>IF(_Ov_Ophthalmology!J11&lt;&gt;"",_Ov_Ophthalmology!J11,SUM(Salem!J11))</f>
        <v>0</v>
      </c>
      <c r="K11" s="151" t="str">
        <f>IF(_Ov_Ophthalmology!K11&lt;&gt;"",_Ov_Ophthalmology!K11,IFERROR(Salem!BA11/Salem!AZ11,""))</f>
        <v/>
      </c>
      <c r="L11" s="73">
        <f>IF(_Ov_Ophthalmology!L11&lt;&gt;"",_Ov_Ophthalmology!L11,SUM(Salem!L11))</f>
        <v>98</v>
      </c>
      <c r="M11" s="71">
        <f>IF(_Ov_Ophthalmology!M11&lt;&gt;"",_Ov_Ophthalmology!M11,SUM(Salem!M11))</f>
        <v>0.72592592592592597</v>
      </c>
      <c r="N11" s="71">
        <f>IF(_Ov_Ophthalmology!N11&lt;&gt;"",_Ov_Ophthalmology!N11,SUM(Salem!N11))</f>
        <v>7</v>
      </c>
      <c r="O11" s="73">
        <f>IF(_Ov_Ophthalmology!O11&lt;&gt;"",_Ov_Ophthalmology!O11,SUM(Salem!O11))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3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25">
      <c r="A12" s="20"/>
      <c r="B12" s="62">
        <f>EDATE(DATE(_Setup!$B$4,10,1),ROW()-ROW($B$11))</f>
        <v>45962</v>
      </c>
      <c r="C12" s="81">
        <f>IF(_Ov_Ophthalmology!C12&lt;&gt;"",_Ov_Ophthalmology!C12,SUM(Salem!C12))</f>
        <v>3</v>
      </c>
      <c r="D12" s="82">
        <f>IF(_Ov_Ophthalmology!D12&lt;&gt;"",_Ov_Ophthalmology!D12,SUM(Salem!D12))</f>
        <v>1</v>
      </c>
      <c r="E12" s="83">
        <f t="shared" si="1"/>
        <v>0.33333333333333331</v>
      </c>
      <c r="F12" s="84">
        <f>IF(_Ov_Ophthalmology!F12&lt;&gt;"",_Ov_Ophthalmology!F12,SUM(Salem!F12))</f>
        <v>0</v>
      </c>
      <c r="G12" s="85">
        <f>IF(_Ov_Ophthalmology!G12&lt;&gt;"",_Ov_Ophthalmology!G12,SUM(Salem!G12))</f>
        <v>0</v>
      </c>
      <c r="H12" s="157" t="str">
        <f t="shared" si="2"/>
        <v/>
      </c>
      <c r="I12" s="154">
        <f>IF(_Ov_Ophthalmology!I12&lt;&gt;"",_Ov_Ophthalmology!I12,SUM(Salem!I12))</f>
        <v>0</v>
      </c>
      <c r="J12" s="154">
        <f>IF(_Ov_Ophthalmology!J12&lt;&gt;"",_Ov_Ophthalmology!J12,SUM(Salem!J12))</f>
        <v>0</v>
      </c>
      <c r="K12" s="154" t="str">
        <f>IF(_Ov_Ophthalmology!K12&lt;&gt;"",_Ov_Ophthalmology!K12,IFERROR(Salem!BA12/Salem!AZ12,""))</f>
        <v/>
      </c>
      <c r="L12" s="91">
        <f>IF(_Ov_Ophthalmology!L12&lt;&gt;"",_Ov_Ophthalmology!L12,SUM(Salem!L12))</f>
        <v>81</v>
      </c>
      <c r="M12" s="89">
        <f>IF(_Ov_Ophthalmology!M12&lt;&gt;"",_Ov_Ophthalmology!M12,SUM(Salem!M12))</f>
        <v>0.79411764705882348</v>
      </c>
      <c r="N12" s="89">
        <f>IF(_Ov_Ophthalmology!N12&lt;&gt;"",_Ov_Ophthalmology!N12,SUM(Salem!N12))</f>
        <v>1</v>
      </c>
      <c r="O12" s="91">
        <f>IF(_Ov_Ophthalmology!O12&lt;&gt;"",_Ov_Ophthalmology!O12,SUM(Salem!O12))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3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25">
      <c r="A13" s="20"/>
      <c r="B13" s="62">
        <f>EDATE(DATE(_Setup!$B$4,10,1),ROW()-ROW($B$11))</f>
        <v>45992</v>
      </c>
      <c r="C13" s="81">
        <f>IF(_Ov_Ophthalmology!C13&lt;&gt;"",_Ov_Ophthalmology!C13,SUM(Salem!C13))</f>
        <v>0</v>
      </c>
      <c r="D13" s="82">
        <f>IF(_Ov_Ophthalmology!D13&lt;&gt;"",_Ov_Ophthalmology!D13,SUM(Salem!D13))</f>
        <v>0</v>
      </c>
      <c r="E13" s="83" t="str">
        <f t="shared" si="1"/>
        <v/>
      </c>
      <c r="F13" s="84">
        <f>IF(_Ov_Ophthalmology!F13&lt;&gt;"",_Ov_Ophthalmology!F13,SUM(Salem!F13))</f>
        <v>0</v>
      </c>
      <c r="G13" s="85">
        <f>IF(_Ov_Ophthalmology!G13&lt;&gt;"",_Ov_Ophthalmology!G13,SUM(Salem!G13))</f>
        <v>0</v>
      </c>
      <c r="H13" s="157" t="str">
        <f t="shared" si="2"/>
        <v/>
      </c>
      <c r="I13" s="154">
        <f>IF(_Ov_Ophthalmology!I13&lt;&gt;"",_Ov_Ophthalmology!I13,SUM(Salem!I13))</f>
        <v>0</v>
      </c>
      <c r="J13" s="154">
        <f>IF(_Ov_Ophthalmology!J13&lt;&gt;"",_Ov_Ophthalmology!J13,SUM(Salem!J13))</f>
        <v>0</v>
      </c>
      <c r="K13" s="154" t="str">
        <f>IF(_Ov_Ophthalmology!K13&lt;&gt;"",_Ov_Ophthalmology!K13,IFERROR(Salem!BA13/Salem!AZ13,""))</f>
        <v/>
      </c>
      <c r="L13" s="91">
        <f>IF(_Ov_Ophthalmology!L13&lt;&gt;"",_Ov_Ophthalmology!L13,SUM(Salem!L13))</f>
        <v>93</v>
      </c>
      <c r="M13" s="89">
        <f>IF(_Ov_Ophthalmology!M13&lt;&gt;"",_Ov_Ophthalmology!M13,SUM(Salem!M13))</f>
        <v>0.74399999999999999</v>
      </c>
      <c r="N13" s="89">
        <f>IF(_Ov_Ophthalmology!N13&lt;&gt;"",_Ov_Ophthalmology!N13,SUM(Salem!N13))</f>
        <v>0</v>
      </c>
      <c r="O13" s="91">
        <f>IF(_Ov_Ophthalmology!O13&lt;&gt;"",_Ov_Ophthalmology!O13,SUM(Salem!O13))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3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25">
      <c r="A14" s="20"/>
      <c r="B14" s="62">
        <f>EDATE(DATE(_Setup!$B$4,10,1),ROW()-ROW($B$11))</f>
        <v>46023</v>
      </c>
      <c r="C14" s="81">
        <f>IF(_Ov_Ophthalmology!C14&lt;&gt;"",_Ov_Ophthalmology!C14,SUM(Salem!C14))</f>
        <v>7</v>
      </c>
      <c r="D14" s="82">
        <f>IF(_Ov_Ophthalmology!D14&lt;&gt;"",_Ov_Ophthalmology!D14,SUM(Salem!D14))</f>
        <v>5</v>
      </c>
      <c r="E14" s="83">
        <f t="shared" si="1"/>
        <v>0.7142857142857143</v>
      </c>
      <c r="F14" s="84">
        <f>IF(_Ov_Ophthalmology!F14&lt;&gt;"",_Ov_Ophthalmology!F14,SUM(Salem!F14))</f>
        <v>0</v>
      </c>
      <c r="G14" s="85">
        <f>IF(_Ov_Ophthalmology!G14&lt;&gt;"",_Ov_Ophthalmology!G14,SUM(Salem!G14))</f>
        <v>0</v>
      </c>
      <c r="H14" s="157" t="str">
        <f t="shared" si="2"/>
        <v/>
      </c>
      <c r="I14" s="154">
        <f>IF(_Ov_Ophthalmology!I14&lt;&gt;"",_Ov_Ophthalmology!I14,SUM(Salem!I14))</f>
        <v>0</v>
      </c>
      <c r="J14" s="154">
        <f>IF(_Ov_Ophthalmology!J14&lt;&gt;"",_Ov_Ophthalmology!J14,SUM(Salem!J14))</f>
        <v>0</v>
      </c>
      <c r="K14" s="154" t="str">
        <f>IF(_Ov_Ophthalmology!K14&lt;&gt;"",_Ov_Ophthalmology!K14,IFERROR(Salem!BA14/Salem!AZ14,""))</f>
        <v/>
      </c>
      <c r="L14" s="91">
        <f>IF(_Ov_Ophthalmology!L14&lt;&gt;"",_Ov_Ophthalmology!L14,SUM(Salem!L14))</f>
        <v>83</v>
      </c>
      <c r="M14" s="89">
        <f>IF(_Ov_Ophthalmology!M14&lt;&gt;"",_Ov_Ophthalmology!M14,SUM(Salem!M14))</f>
        <v>0.67479674796747968</v>
      </c>
      <c r="N14" s="89">
        <f>IF(_Ov_Ophthalmology!N14&lt;&gt;"",_Ov_Ophthalmology!N14,SUM(Salem!N14))</f>
        <v>2</v>
      </c>
      <c r="O14" s="91">
        <f>IF(_Ov_Ophthalmology!O14&lt;&gt;"",_Ov_Ophthalmology!O14,SUM(Salem!O14))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3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25">
      <c r="A15" s="20"/>
      <c r="B15" s="62">
        <f>EDATE(DATE(_Setup!$B$4,10,1),ROW()-ROW($B$11))</f>
        <v>46054</v>
      </c>
      <c r="C15" s="81">
        <f>IF(_Ov_Ophthalmology!C15&lt;&gt;"",_Ov_Ophthalmology!C15,SUM(Salem!C15))</f>
        <v>3</v>
      </c>
      <c r="D15" s="82">
        <f>IF(_Ov_Ophthalmology!D15&lt;&gt;"",_Ov_Ophthalmology!D15,SUM(Salem!D15))</f>
        <v>3</v>
      </c>
      <c r="E15" s="83">
        <f t="shared" si="1"/>
        <v>1</v>
      </c>
      <c r="F15" s="84">
        <f>IF(_Ov_Ophthalmology!F15&lt;&gt;"",_Ov_Ophthalmology!F15,SUM(Salem!F15))</f>
        <v>0</v>
      </c>
      <c r="G15" s="85">
        <f>IF(_Ov_Ophthalmology!G15&lt;&gt;"",_Ov_Ophthalmology!G15,SUM(Salem!G15))</f>
        <v>0</v>
      </c>
      <c r="H15" s="157" t="str">
        <f t="shared" si="2"/>
        <v/>
      </c>
      <c r="I15" s="154">
        <f>IF(_Ov_Ophthalmology!I15&lt;&gt;"",_Ov_Ophthalmology!I15,SUM(Salem!I15))</f>
        <v>0</v>
      </c>
      <c r="J15" s="154">
        <f>IF(_Ov_Ophthalmology!J15&lt;&gt;"",_Ov_Ophthalmology!J15,SUM(Salem!J15))</f>
        <v>0</v>
      </c>
      <c r="K15" s="154" t="str">
        <f>IF(_Ov_Ophthalmology!K15&lt;&gt;"",_Ov_Ophthalmology!K15,IFERROR(Salem!BA15/Salem!AZ15,""))</f>
        <v/>
      </c>
      <c r="L15" s="91">
        <f>IF(_Ov_Ophthalmology!L15&lt;&gt;"",_Ov_Ophthalmology!L15,SUM(Salem!L15))</f>
        <v>72</v>
      </c>
      <c r="M15" s="89">
        <f>IF(_Ov_Ophthalmology!M15&lt;&gt;"",_Ov_Ophthalmology!M15,SUM(Salem!M15))</f>
        <v>0.71287128712871284</v>
      </c>
      <c r="N15" s="89">
        <f>IF(_Ov_Ophthalmology!N15&lt;&gt;"",_Ov_Ophthalmology!N15,SUM(Salem!N15))</f>
        <v>0</v>
      </c>
      <c r="O15" s="91">
        <f>IF(_Ov_Ophthalmology!O15&lt;&gt;"",_Ov_Ophthalmology!O15,SUM(Salem!O15))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3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25">
      <c r="A16" s="20"/>
      <c r="B16" s="62">
        <f>EDATE(DATE(_Setup!$B$4,10,1),ROW()-ROW($B$11))</f>
        <v>46082</v>
      </c>
      <c r="C16" s="81">
        <f>IF(_Ov_Ophthalmology!C16&lt;&gt;"",_Ov_Ophthalmology!C16,SUM(Salem!C16))</f>
        <v>5</v>
      </c>
      <c r="D16" s="82">
        <f>IF(_Ov_Ophthalmology!D16&lt;&gt;"",_Ov_Ophthalmology!D16,SUM(Salem!D16))</f>
        <v>2</v>
      </c>
      <c r="E16" s="83">
        <f t="shared" si="1"/>
        <v>0.4</v>
      </c>
      <c r="F16" s="84">
        <f>IF(_Ov_Ophthalmology!F16&lt;&gt;"",_Ov_Ophthalmology!F16,SUM(Salem!F16))</f>
        <v>0</v>
      </c>
      <c r="G16" s="85">
        <f>IF(_Ov_Ophthalmology!G16&lt;&gt;"",_Ov_Ophthalmology!G16,SUM(Salem!G16))</f>
        <v>0</v>
      </c>
      <c r="H16" s="157" t="str">
        <f t="shared" si="2"/>
        <v/>
      </c>
      <c r="I16" s="154">
        <f>IF(_Ov_Ophthalmology!I16&lt;&gt;"",_Ov_Ophthalmology!I16,SUM(Salem!I16))</f>
        <v>0</v>
      </c>
      <c r="J16" s="154">
        <f>IF(_Ov_Ophthalmology!J16&lt;&gt;"",_Ov_Ophthalmology!J16,SUM(Salem!J16))</f>
        <v>0</v>
      </c>
      <c r="K16" s="154" t="str">
        <f>IF(_Ov_Ophthalmology!K16&lt;&gt;"",_Ov_Ophthalmology!K16,IFERROR(Salem!BA16/Salem!AZ16,""))</f>
        <v/>
      </c>
      <c r="L16" s="91">
        <f>IF(_Ov_Ophthalmology!L16&lt;&gt;"",_Ov_Ophthalmology!L16,SUM(Salem!L16))</f>
        <v>80</v>
      </c>
      <c r="M16" s="89">
        <f>IF(_Ov_Ophthalmology!M16&lt;&gt;"",_Ov_Ophthalmology!M16,SUM(Salem!M16))</f>
        <v>0.79207920792079212</v>
      </c>
      <c r="N16" s="89">
        <f>IF(_Ov_Ophthalmology!N16&lt;&gt;"",_Ov_Ophthalmology!N16,SUM(Salem!N16))</f>
        <v>2</v>
      </c>
      <c r="O16" s="91">
        <f>IF(_Ov_Ophthalmology!O16&lt;&gt;"",_Ov_Ophthalmology!O16,SUM(Salem!O16))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3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25">
      <c r="A17" s="20"/>
      <c r="B17" s="62">
        <f>EDATE(DATE(_Setup!$B$4,10,1),ROW()-ROW($B$11))</f>
        <v>46113</v>
      </c>
      <c r="C17" s="81">
        <f>IF(_Ov_Ophthalmology!C17&lt;&gt;"",_Ov_Ophthalmology!C17,SUM(Salem!C17))</f>
        <v>15</v>
      </c>
      <c r="D17" s="82">
        <f>IF(_Ov_Ophthalmology!D17&lt;&gt;"",_Ov_Ophthalmology!D17,SUM(Salem!D17))</f>
        <v>15</v>
      </c>
      <c r="E17" s="83">
        <f t="shared" si="1"/>
        <v>1</v>
      </c>
      <c r="F17" s="84">
        <f>IF(_Ov_Ophthalmology!F17&lt;&gt;"",_Ov_Ophthalmology!F17,SUM(Salem!F17))</f>
        <v>0</v>
      </c>
      <c r="G17" s="85">
        <f>IF(_Ov_Ophthalmology!G17&lt;&gt;"",_Ov_Ophthalmology!G17,SUM(Salem!G17))</f>
        <v>0</v>
      </c>
      <c r="H17" s="157" t="str">
        <f t="shared" si="2"/>
        <v/>
      </c>
      <c r="I17" s="154">
        <f>IF(_Ov_Ophthalmology!I17&lt;&gt;"",_Ov_Ophthalmology!I17,SUM(Salem!I17))</f>
        <v>0</v>
      </c>
      <c r="J17" s="154">
        <f>IF(_Ov_Ophthalmology!J17&lt;&gt;"",_Ov_Ophthalmology!J17,SUM(Salem!J17))</f>
        <v>0</v>
      </c>
      <c r="K17" s="154" t="str">
        <f>IF(_Ov_Ophthalmology!K17&lt;&gt;"",_Ov_Ophthalmology!K17,IFERROR(Salem!BA17/Salem!AZ17,""))</f>
        <v/>
      </c>
      <c r="L17" s="91">
        <f>IF(_Ov_Ophthalmology!L17&lt;&gt;"",_Ov_Ophthalmology!L17,SUM(Salem!L17))</f>
        <v>142</v>
      </c>
      <c r="M17" s="89">
        <f>IF(_Ov_Ophthalmology!M17&lt;&gt;"",_Ov_Ophthalmology!M17,SUM(Salem!M17))</f>
        <v>0.89308176100628933</v>
      </c>
      <c r="N17" s="89">
        <f>IF(_Ov_Ophthalmology!N17&lt;&gt;"",_Ov_Ophthalmology!N17,SUM(Salem!N17))</f>
        <v>5</v>
      </c>
      <c r="O17" s="91">
        <f>IF(_Ov_Ophthalmology!O17&lt;&gt;"",_Ov_Ophthalmology!O17,SUM(Salem!O17))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3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25">
      <c r="A18" s="20"/>
      <c r="B18" s="62">
        <f>EDATE(DATE(_Setup!$B$4,10,1),ROW()-ROW($B$11))</f>
        <v>46143</v>
      </c>
      <c r="C18" s="81">
        <f>IF(_Ov_Ophthalmology!C18&lt;&gt;"",_Ov_Ophthalmology!C18,SUM(Salem!C18))</f>
        <v>5</v>
      </c>
      <c r="D18" s="82">
        <f>IF(_Ov_Ophthalmology!D18&lt;&gt;"",_Ov_Ophthalmology!D18,SUM(Salem!D18))</f>
        <v>5</v>
      </c>
      <c r="E18" s="83">
        <f t="shared" si="1"/>
        <v>1</v>
      </c>
      <c r="F18" s="84">
        <f>IF(_Ov_Ophthalmology!F18&lt;&gt;"",_Ov_Ophthalmology!F18,SUM(Salem!F18))</f>
        <v>0</v>
      </c>
      <c r="G18" s="85">
        <f>IF(_Ov_Ophthalmology!G18&lt;&gt;"",_Ov_Ophthalmology!G18,SUM(Salem!G18))</f>
        <v>0</v>
      </c>
      <c r="H18" s="157" t="str">
        <f t="shared" si="2"/>
        <v/>
      </c>
      <c r="I18" s="154">
        <f>IF(_Ov_Ophthalmology!I18&lt;&gt;"",_Ov_Ophthalmology!I18,SUM(Salem!I18))</f>
        <v>0</v>
      </c>
      <c r="J18" s="154">
        <f>IF(_Ov_Ophthalmology!J18&lt;&gt;"",_Ov_Ophthalmology!J18,SUM(Salem!J18))</f>
        <v>0</v>
      </c>
      <c r="K18" s="154" t="str">
        <f>IF(_Ov_Ophthalmology!K18&lt;&gt;"",_Ov_Ophthalmology!K18,IFERROR(Salem!BA18/Salem!AZ18,""))</f>
        <v/>
      </c>
      <c r="L18" s="91">
        <f>IF(_Ov_Ophthalmology!L18&lt;&gt;"",_Ov_Ophthalmology!L18,SUM(Salem!L18))</f>
        <v>0</v>
      </c>
      <c r="M18" s="89">
        <f>IF(_Ov_Ophthalmology!M18&lt;&gt;"",_Ov_Ophthalmology!M18,SUM(Salem!M18))</f>
        <v>0</v>
      </c>
      <c r="N18" s="89">
        <f>IF(_Ov_Ophthalmology!N18&lt;&gt;"",_Ov_Ophthalmology!N18,SUM(Salem!N18))</f>
        <v>0</v>
      </c>
      <c r="O18" s="91">
        <f>IF(_Ov_Ophthalmology!O18&lt;&gt;"",_Ov_Ophthalmology!O18,SUM(Salem!O18))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3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25">
      <c r="A19" s="20"/>
      <c r="B19" s="62">
        <f>EDATE(DATE(_Setup!$B$4,10,1),ROW()-ROW($B$11))</f>
        <v>46174</v>
      </c>
      <c r="C19" s="81">
        <f>IF(_Ov_Ophthalmology!C19&lt;&gt;"",_Ov_Ophthalmology!C19,SUM(Salem!C19))</f>
        <v>3</v>
      </c>
      <c r="D19" s="82">
        <f>IF(_Ov_Ophthalmology!D19&lt;&gt;"",_Ov_Ophthalmology!D19,SUM(Salem!D19))</f>
        <v>3</v>
      </c>
      <c r="E19" s="83">
        <f t="shared" si="1"/>
        <v>1</v>
      </c>
      <c r="F19" s="84">
        <f>IF(_Ov_Ophthalmology!F19&lt;&gt;"",_Ov_Ophthalmology!F19,SUM(Salem!F19))</f>
        <v>0</v>
      </c>
      <c r="G19" s="85">
        <f>IF(_Ov_Ophthalmology!G19&lt;&gt;"",_Ov_Ophthalmology!G19,SUM(Salem!G19))</f>
        <v>0</v>
      </c>
      <c r="H19" s="157" t="str">
        <f t="shared" si="2"/>
        <v/>
      </c>
      <c r="I19" s="154">
        <f>IF(_Ov_Ophthalmology!I19&lt;&gt;"",_Ov_Ophthalmology!I19,SUM(Salem!I19))</f>
        <v>0</v>
      </c>
      <c r="J19" s="154">
        <f>IF(_Ov_Ophthalmology!J19&lt;&gt;"",_Ov_Ophthalmology!J19,SUM(Salem!J19))</f>
        <v>0</v>
      </c>
      <c r="K19" s="154" t="str">
        <f>IF(_Ov_Ophthalmology!K19&lt;&gt;"",_Ov_Ophthalmology!K19,IFERROR(Salem!BA19/Salem!AZ19,""))</f>
        <v/>
      </c>
      <c r="L19" s="91">
        <f>IF(_Ov_Ophthalmology!L19&lt;&gt;"",_Ov_Ophthalmology!L19,SUM(Salem!L19))</f>
        <v>0</v>
      </c>
      <c r="M19" s="89">
        <f>IF(_Ov_Ophthalmology!M19&lt;&gt;"",_Ov_Ophthalmology!M19,SUM(Salem!M19))</f>
        <v>0</v>
      </c>
      <c r="N19" s="89">
        <f>IF(_Ov_Ophthalmology!N19&lt;&gt;"",_Ov_Ophthalmology!N19,SUM(Salem!N19))</f>
        <v>0</v>
      </c>
      <c r="O19" s="91">
        <f>IF(_Ov_Ophthalmology!O19&lt;&gt;"",_Ov_Ophthalmology!O19,SUM(Salem!O19))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3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25">
      <c r="A20" s="20"/>
      <c r="B20" s="62">
        <f>EDATE(DATE(_Setup!$B$4,10,1),ROW()-ROW($B$11))</f>
        <v>46204</v>
      </c>
      <c r="C20" s="81">
        <f>IF(_Ov_Ophthalmology!C20&lt;&gt;"",_Ov_Ophthalmology!C20,SUM(Salem!C20))</f>
        <v>18</v>
      </c>
      <c r="D20" s="82">
        <f>IF(_Ov_Ophthalmology!D20&lt;&gt;"",_Ov_Ophthalmology!D20,SUM(Salem!D20))</f>
        <v>17</v>
      </c>
      <c r="E20" s="83">
        <f t="shared" si="1"/>
        <v>0.94444444444444442</v>
      </c>
      <c r="F20" s="84">
        <f>IF(_Ov_Ophthalmology!F20&lt;&gt;"",_Ov_Ophthalmology!F20,SUM(Salem!F20))</f>
        <v>0</v>
      </c>
      <c r="G20" s="85">
        <f>IF(_Ov_Ophthalmology!G20&lt;&gt;"",_Ov_Ophthalmology!G20,SUM(Salem!G20))</f>
        <v>0</v>
      </c>
      <c r="H20" s="157" t="str">
        <f t="shared" si="2"/>
        <v/>
      </c>
      <c r="I20" s="154">
        <f>IF(_Ov_Ophthalmology!I20&lt;&gt;"",_Ov_Ophthalmology!I20,SUM(Salem!I20))</f>
        <v>0</v>
      </c>
      <c r="J20" s="154">
        <f>IF(_Ov_Ophthalmology!J20&lt;&gt;"",_Ov_Ophthalmology!J20,SUM(Salem!J20))</f>
        <v>0</v>
      </c>
      <c r="K20" s="154" t="str">
        <f>IF(_Ov_Ophthalmology!K20&lt;&gt;"",_Ov_Ophthalmology!K20,IFERROR(Salem!BA20/Salem!AZ20,""))</f>
        <v/>
      </c>
      <c r="L20" s="91">
        <f>IF(_Ov_Ophthalmology!L20&lt;&gt;"",_Ov_Ophthalmology!L20,SUM(Salem!L20))</f>
        <v>0</v>
      </c>
      <c r="M20" s="89">
        <f>IF(_Ov_Ophthalmology!M20&lt;&gt;"",_Ov_Ophthalmology!M20,SUM(Salem!M20))</f>
        <v>0</v>
      </c>
      <c r="N20" s="89">
        <f>IF(_Ov_Ophthalmology!N20&lt;&gt;"",_Ov_Ophthalmology!N20,SUM(Salem!N20))</f>
        <v>0</v>
      </c>
      <c r="O20" s="91">
        <f>IF(_Ov_Ophthalmology!O20&lt;&gt;"",_Ov_Ophthalmology!O20,SUM(Salem!O20))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25">
      <c r="A21" s="20"/>
      <c r="B21" s="62">
        <f>EDATE(DATE(_Setup!$B$4,10,1),ROW()-ROW($B$11))</f>
        <v>46235</v>
      </c>
      <c r="C21" s="81">
        <f>IF(_Ov_Ophthalmology!C21&lt;&gt;"",_Ov_Ophthalmology!C21,SUM(Salem!C21))</f>
        <v>0</v>
      </c>
      <c r="D21" s="82">
        <f>IF(_Ov_Ophthalmology!D21&lt;&gt;"",_Ov_Ophthalmology!D21,SUM(Salem!D21))</f>
        <v>0</v>
      </c>
      <c r="E21" s="83" t="str">
        <f t="shared" si="1"/>
        <v/>
      </c>
      <c r="F21" s="84">
        <f>IF(_Ov_Ophthalmology!F21&lt;&gt;"",_Ov_Ophthalmology!F21,SUM(Salem!F21))</f>
        <v>0</v>
      </c>
      <c r="G21" s="85">
        <f>IF(_Ov_Ophthalmology!G21&lt;&gt;"",_Ov_Ophthalmology!G21,SUM(Salem!G21))</f>
        <v>0</v>
      </c>
      <c r="H21" s="157" t="str">
        <f t="shared" si="2"/>
        <v/>
      </c>
      <c r="I21" s="154">
        <f>IF(_Ov_Ophthalmology!I21&lt;&gt;"",_Ov_Ophthalmology!I21,SUM(Salem!I21))</f>
        <v>0</v>
      </c>
      <c r="J21" s="154">
        <f>IF(_Ov_Ophthalmology!J21&lt;&gt;"",_Ov_Ophthalmology!J21,SUM(Salem!J21))</f>
        <v>0</v>
      </c>
      <c r="K21" s="154" t="str">
        <f>IF(_Ov_Ophthalmology!K21&lt;&gt;"",_Ov_Ophthalmology!K21,IFERROR(Salem!BA21/Salem!AZ21,""))</f>
        <v/>
      </c>
      <c r="L21" s="91">
        <f>IF(_Ov_Ophthalmology!L21&lt;&gt;"",_Ov_Ophthalmology!L21,SUM(Salem!L21))</f>
        <v>0</v>
      </c>
      <c r="M21" s="89">
        <f>IF(_Ov_Ophthalmology!M21&lt;&gt;"",_Ov_Ophthalmology!M21,SUM(Salem!M21))</f>
        <v>0</v>
      </c>
      <c r="N21" s="89">
        <f>IF(_Ov_Ophthalmology!N21&lt;&gt;"",_Ov_Ophthalmology!N21,SUM(Salem!N21))</f>
        <v>0</v>
      </c>
      <c r="O21" s="91">
        <f>IF(_Ov_Ophthalmology!O21&lt;&gt;"",_Ov_Ophthalmology!O21,SUM(Salem!O21))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25">
      <c r="A22" s="20"/>
      <c r="B22" s="62">
        <f>EDATE(DATE(_Setup!$B$4,10,1),ROW()-ROW($B$11))</f>
        <v>46266</v>
      </c>
      <c r="C22" s="100">
        <f>IF(_Ov_Ophthalmology!C22&lt;&gt;"",_Ov_Ophthalmology!C22,SUM(Salem!C22))</f>
        <v>0</v>
      </c>
      <c r="D22" s="101">
        <f>IF(_Ov_Ophthalmology!D22&lt;&gt;"",_Ov_Ophthalmology!D22,SUM(Salem!D22))</f>
        <v>0</v>
      </c>
      <c r="E22" s="102" t="str">
        <f t="shared" si="1"/>
        <v/>
      </c>
      <c r="F22" s="103">
        <f>IF(_Ov_Ophthalmology!F22&lt;&gt;"",_Ov_Ophthalmology!F22,SUM(Salem!F22))</f>
        <v>0</v>
      </c>
      <c r="G22" s="104">
        <f>IF(_Ov_Ophthalmology!G22&lt;&gt;"",_Ov_Ophthalmology!G22,SUM(Salem!G22))</f>
        <v>0</v>
      </c>
      <c r="H22" s="161" t="str">
        <f t="shared" si="2"/>
        <v/>
      </c>
      <c r="I22" s="162">
        <f>IF(_Ov_Ophthalmology!I22&lt;&gt;"",_Ov_Ophthalmology!I22,SUM(Salem!I22))</f>
        <v>0</v>
      </c>
      <c r="J22" s="162">
        <f>IF(_Ov_Ophthalmology!J22&lt;&gt;"",_Ov_Ophthalmology!J22,SUM(Salem!J22))</f>
        <v>0</v>
      </c>
      <c r="K22" s="162" t="str">
        <f>IF(_Ov_Ophthalmology!K22&lt;&gt;"",_Ov_Ophthalmology!K22,IFERROR(Salem!BA22/Salem!AZ22,""))</f>
        <v/>
      </c>
      <c r="L22" s="110">
        <f>IF(_Ov_Ophthalmology!L22&lt;&gt;"",_Ov_Ophthalmology!L22,SUM(Salem!L22))</f>
        <v>0</v>
      </c>
      <c r="M22" s="108">
        <f>IF(_Ov_Ophthalmology!M22&lt;&gt;"",_Ov_Ophthalmology!M22,SUM(Salem!M22))</f>
        <v>0</v>
      </c>
      <c r="N22" s="108">
        <f>IF(_Ov_Ophthalmology!N22&lt;&gt;"",_Ov_Ophthalmology!N22,SUM(Salem!N22))</f>
        <v>0</v>
      </c>
      <c r="O22" s="110">
        <f>IF(_Ov_Ophthalmology!O22&lt;&gt;"",_Ov_Ophthalmology!O22,SUM(Salem!O22))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25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25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25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25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25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25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25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25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25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25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25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25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25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25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25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25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25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25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25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25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25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25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25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25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25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25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25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25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25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25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25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25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25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25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25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25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25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25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25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25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25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25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25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25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25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25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U84"/>
  <sheetViews>
    <sheetView workbookViewId="0"/>
  </sheetViews>
  <sheetFormatPr defaultRowHeight="15" x14ac:dyDescent="0.25"/>
  <cols>
    <col min="49" max="49" width="11.28515625" customWidth="1"/>
  </cols>
  <sheetData>
    <row r="1" spans="1:47" ht="15" customHeight="1" x14ac:dyDescent="0.25">
      <c r="A1" s="1" t="s">
        <v>153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25">
      <c r="A2" s="1"/>
      <c r="B2" s="3"/>
      <c r="C2" s="277" t="s">
        <v>0</v>
      </c>
      <c r="D2" s="253"/>
      <c r="E2" s="253"/>
      <c r="F2" s="253"/>
      <c r="G2" s="279" t="s">
        <v>1</v>
      </c>
      <c r="H2" s="253"/>
      <c r="I2" s="253"/>
      <c r="J2" s="253"/>
      <c r="K2" s="280" t="s">
        <v>2</v>
      </c>
      <c r="L2" s="253"/>
      <c r="M2" s="253"/>
      <c r="N2" s="281" t="s">
        <v>3</v>
      </c>
      <c r="O2" s="253"/>
      <c r="P2" s="278" t="s">
        <v>43</v>
      </c>
      <c r="Q2" s="253"/>
      <c r="R2" s="253"/>
      <c r="S2" s="282" t="s">
        <v>44</v>
      </c>
      <c r="T2" s="253"/>
      <c r="U2" s="253"/>
      <c r="V2" s="275" t="s">
        <v>45</v>
      </c>
      <c r="W2" s="253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25">
      <c r="A3" s="1"/>
      <c r="B3" s="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25">
      <c r="A4" s="1"/>
      <c r="B4" s="3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25">
      <c r="A5" s="1"/>
      <c r="B5" s="6" t="s">
        <v>11</v>
      </c>
      <c r="C5" s="7"/>
      <c r="D5" s="8"/>
      <c r="E5" s="9">
        <f>SUM(E11:E22)</f>
        <v>8.3011480748869868</v>
      </c>
      <c r="F5" s="10">
        <f>SUM(F11:F22)</f>
        <v>1</v>
      </c>
      <c r="G5" s="11">
        <f>SUM(G11:G22)</f>
        <v>1</v>
      </c>
      <c r="H5" s="12"/>
      <c r="I5" s="9">
        <f>SUM(I11:I22)</f>
        <v>7</v>
      </c>
      <c r="J5" s="13">
        <f>SUM(J11:J22)</f>
        <v>37</v>
      </c>
      <c r="K5" s="14"/>
      <c r="L5" s="9">
        <f t="shared" ref="L5:Q5" si="0">SUM(L11:L22)</f>
        <v>649</v>
      </c>
      <c r="M5" s="10">
        <f t="shared" si="0"/>
        <v>5.3368725770080232</v>
      </c>
      <c r="N5" s="15">
        <f t="shared" si="0"/>
        <v>17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25">
      <c r="A6" s="1"/>
      <c r="B6" s="6" t="s">
        <v>13</v>
      </c>
      <c r="C6" s="21" t="s">
        <v>47</v>
      </c>
      <c r="D6" s="22" t="s">
        <v>47</v>
      </c>
      <c r="E6" s="23">
        <f>AVERAGE(E11:E22)</f>
        <v>0.8301148074886987</v>
      </c>
      <c r="F6" s="24">
        <f>AVERAGE(F11:F22)</f>
        <v>8.3333333333333329E-2</v>
      </c>
      <c r="G6" s="25">
        <f>AVERAGE(G11:G22)</f>
        <v>8.3333333333333329E-2</v>
      </c>
      <c r="H6" s="26" t="s">
        <v>47</v>
      </c>
      <c r="I6" s="27">
        <f>AVERAGE(I11:I22)</f>
        <v>0.58333333333333337</v>
      </c>
      <c r="J6" s="28">
        <f>AVERAGE(J11:J22)</f>
        <v>3.0833333333333335</v>
      </c>
      <c r="K6" s="29" t="s">
        <v>47</v>
      </c>
      <c r="L6" s="30">
        <f t="shared" ref="L6:Q6" si="1">AVERAGE(L11:L22)</f>
        <v>54.083333333333336</v>
      </c>
      <c r="M6" s="31">
        <f t="shared" si="1"/>
        <v>0.44473938141733527</v>
      </c>
      <c r="N6" s="29">
        <f t="shared" si="1"/>
        <v>1.4166666666666667</v>
      </c>
      <c r="O6" s="28">
        <f t="shared" si="1"/>
        <v>0</v>
      </c>
      <c r="P6" s="32">
        <f t="shared" si="1"/>
        <v>4.25</v>
      </c>
      <c r="Q6" s="33">
        <f t="shared" si="1"/>
        <v>11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25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25">
      <c r="A8" s="1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7" t="s">
        <v>23</v>
      </c>
      <c r="L8" s="263" t="s">
        <v>24</v>
      </c>
      <c r="M8" s="271" t="s">
        <v>25</v>
      </c>
      <c r="N8" s="264" t="s">
        <v>48</v>
      </c>
      <c r="O8" s="273" t="s">
        <v>49</v>
      </c>
      <c r="P8" s="274" t="s">
        <v>18</v>
      </c>
      <c r="Q8" s="274" t="s">
        <v>50</v>
      </c>
      <c r="R8" s="274" t="s">
        <v>51</v>
      </c>
      <c r="S8" s="272" t="s">
        <v>52</v>
      </c>
      <c r="T8" s="272" t="s">
        <v>53</v>
      </c>
      <c r="U8" s="272" t="s">
        <v>54</v>
      </c>
      <c r="V8" s="276" t="s">
        <v>55</v>
      </c>
      <c r="W8" s="27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25">
      <c r="A9" s="1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25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3"/>
      <c r="T10" s="253"/>
      <c r="U10" s="253"/>
      <c r="V10" s="253"/>
      <c r="W10" s="253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25">
      <c r="A11" s="1"/>
      <c r="B11" s="62">
        <f>EDATE(DATE(_Setup!$B$4,10,1),ROW()-ROW($B$11))</f>
        <v>45931</v>
      </c>
      <c r="C11" s="63">
        <f>IF(_Ov_Optometry!C11&lt;&gt;"",_Ov_Optometry!C11,SUM(_Sys_Salem_Optom!C11))</f>
        <v>51</v>
      </c>
      <c r="D11" s="64">
        <f>IF(_Ov_Optometry!D11&lt;&gt;"",_Ov_Optometry!D11,SUM(_Sys_Salem_Optom!D11))</f>
        <v>34</v>
      </c>
      <c r="E11" s="65">
        <f t="shared" ref="E11:E22" si="2">IFERROR(D11/C11,"")</f>
        <v>0.66666666666666663</v>
      </c>
      <c r="F11" s="66">
        <f>IF(_Ov_Optometry!F11&lt;&gt;"",_Ov_Optometry!F11,SUM(_Sys_Salem_Optom!F11))</f>
        <v>0</v>
      </c>
      <c r="G11" s="67">
        <f>IF(_Ov_Optometry!G11&lt;&gt;"",_Ov_Optometry!G11,SUM(_Sys_Salem_Optom!G11))</f>
        <v>0</v>
      </c>
      <c r="H11" s="68" t="str">
        <f t="shared" ref="H11:H22" si="3">IFERROR(G11/F11,"")</f>
        <v/>
      </c>
      <c r="I11" s="69">
        <f>IF(_Ov_Optometry!I11&lt;&gt;"",_Ov_Optometry!I11,SUM(_Sys_Salem_Optom!I11))</f>
        <v>0</v>
      </c>
      <c r="J11" s="70">
        <f>IF(_Ov_Optometry!J11&lt;&gt;"",_Ov_Optometry!J11,SUM(_Sys_Salem_Optom!J11))</f>
        <v>0</v>
      </c>
      <c r="K11" s="71" t="str">
        <f>IF(_Ov_Optometry!K11&lt;&gt;"",_Ov_Optometry!K11,IFERROR(Salem!BA11/Salem!AZ11,""))</f>
        <v/>
      </c>
      <c r="L11" s="72">
        <f>IF(_Ov_Optometry!L11&lt;&gt;"",_Ov_Optometry!L11,SUM(Salem!L11))</f>
        <v>98</v>
      </c>
      <c r="M11" s="73">
        <f>IF(_Ov_Optometry!M11&lt;&gt;"",_Ov_Optometry!M11,SUM(Salem!M11))</f>
        <v>0.72592592592592597</v>
      </c>
      <c r="N11" s="71">
        <f>IF(_Ov_Optometry!N11&lt;&gt;"",_Ov_Optometry!N11,SUM(Salem!N11))</f>
        <v>7</v>
      </c>
      <c r="O11" s="73">
        <f>IF(_Ov_Optometry!O11&lt;&gt;"",_Ov_Optometry!O11,SUM(Salem!O11))</f>
        <v>0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4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25">
      <c r="A12" s="1"/>
      <c r="B12" s="62">
        <f>EDATE(DATE(_Setup!$B$4,10,1),ROW()-ROW($B$11))</f>
        <v>45962</v>
      </c>
      <c r="C12" s="81">
        <f>IF(_Ov_Optometry!C12&lt;&gt;"",_Ov_Optometry!C12,SUM(_Sys_Salem_Optom!C12))</f>
        <v>54</v>
      </c>
      <c r="D12" s="82">
        <f>IF(_Ov_Optometry!D12&lt;&gt;"",_Ov_Optometry!D12,SUM(_Sys_Salem_Optom!D12))</f>
        <v>35</v>
      </c>
      <c r="E12" s="83">
        <f t="shared" si="2"/>
        <v>0.64814814814814814</v>
      </c>
      <c r="F12" s="84">
        <f>IF(_Ov_Optometry!F12&lt;&gt;"",_Ov_Optometry!F12,SUM(_Sys_Salem_Optom!F12))</f>
        <v>0</v>
      </c>
      <c r="G12" s="85">
        <f>IF(_Ov_Optometry!G12&lt;&gt;"",_Ov_Optometry!G12,SUM(_Sys_Salem_Optom!G12))</f>
        <v>0</v>
      </c>
      <c r="H12" s="86" t="str">
        <f t="shared" si="3"/>
        <v/>
      </c>
      <c r="I12" s="87">
        <f>IF(_Ov_Optometry!I12&lt;&gt;"",_Ov_Optometry!I12,SUM(_Sys_Salem_Optom!I12))</f>
        <v>0</v>
      </c>
      <c r="J12" s="88">
        <f>IF(_Ov_Optometry!J12&lt;&gt;"",_Ov_Optometry!J12,SUM(_Sys_Salem_Optom!J12))</f>
        <v>0</v>
      </c>
      <c r="K12" s="89" t="str">
        <f>IF(_Ov_Optometry!K12&lt;&gt;"",_Ov_Optometry!K12,IFERROR(Salem!BA12/Salem!AZ12,""))</f>
        <v/>
      </c>
      <c r="L12" s="90">
        <f>IF(_Ov_Optometry!L12&lt;&gt;"",_Ov_Optometry!L12,SUM(Salem!L12))</f>
        <v>81</v>
      </c>
      <c r="M12" s="91">
        <f>IF(_Ov_Optometry!M12&lt;&gt;"",_Ov_Optometry!M12,SUM(Salem!M12))</f>
        <v>0.79411764705882348</v>
      </c>
      <c r="N12" s="89">
        <f>IF(_Ov_Optometry!N12&lt;&gt;"",_Ov_Optometry!N12,SUM(Salem!N12))</f>
        <v>1</v>
      </c>
      <c r="O12" s="91">
        <f>IF(_Ov_Optometry!O12&lt;&gt;"",_Ov_Optometry!O12,SUM(Salem!O12))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4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25">
      <c r="A13" s="1"/>
      <c r="B13" s="62">
        <f>EDATE(DATE(_Setup!$B$4,10,1),ROW()-ROW($B$11))</f>
        <v>45992</v>
      </c>
      <c r="C13" s="81">
        <f>IF(_Ov_Optometry!C13&lt;&gt;"",_Ov_Optometry!C13,SUM(_Sys_Salem_Optom!C13))</f>
        <v>63</v>
      </c>
      <c r="D13" s="82">
        <f>IF(_Ov_Optometry!D13&lt;&gt;"",_Ov_Optometry!D13,SUM(_Sys_Salem_Optom!D13))</f>
        <v>42</v>
      </c>
      <c r="E13" s="83">
        <f t="shared" si="2"/>
        <v>0.66666666666666663</v>
      </c>
      <c r="F13" s="84">
        <f>IF(_Ov_Optometry!F13&lt;&gt;"",_Ov_Optometry!F13,SUM(_Sys_Salem_Optom!F13))</f>
        <v>0</v>
      </c>
      <c r="G13" s="85">
        <f>IF(_Ov_Optometry!G13&lt;&gt;"",_Ov_Optometry!G13,SUM(_Sys_Salem_Optom!G13))</f>
        <v>0</v>
      </c>
      <c r="H13" s="86" t="str">
        <f t="shared" si="3"/>
        <v/>
      </c>
      <c r="I13" s="87">
        <f>IF(_Ov_Optometry!I13&lt;&gt;"",_Ov_Optometry!I13,SUM(_Sys_Salem_Optom!I13))</f>
        <v>1</v>
      </c>
      <c r="J13" s="88">
        <f>IF(_Ov_Optometry!J13&lt;&gt;"",_Ov_Optometry!J13,SUM(_Sys_Salem_Optom!J13))</f>
        <v>2</v>
      </c>
      <c r="K13" s="89" t="str">
        <f>IF(_Ov_Optometry!K13&lt;&gt;"",_Ov_Optometry!K13,IFERROR(Salem!BA13/Salem!AZ13,""))</f>
        <v/>
      </c>
      <c r="L13" s="90">
        <f>IF(_Ov_Optometry!L13&lt;&gt;"",_Ov_Optometry!L13,SUM(Salem!L13))</f>
        <v>93</v>
      </c>
      <c r="M13" s="91">
        <f>IF(_Ov_Optometry!M13&lt;&gt;"",_Ov_Optometry!M13,SUM(Salem!M13))</f>
        <v>0.74399999999999999</v>
      </c>
      <c r="N13" s="89">
        <f>IF(_Ov_Optometry!N13&lt;&gt;"",_Ov_Optometry!N13,SUM(Salem!N13))</f>
        <v>0</v>
      </c>
      <c r="O13" s="91">
        <f>IF(_Ov_Optometry!O13&lt;&gt;"",_Ov_Optometry!O13,SUM(Salem!O13))</f>
        <v>0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4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25">
      <c r="A14" s="1"/>
      <c r="B14" s="62">
        <f>EDATE(DATE(_Setup!$B$4,10,1),ROW()-ROW($B$11))</f>
        <v>46023</v>
      </c>
      <c r="C14" s="81">
        <f>IF(_Ov_Optometry!C14&lt;&gt;"",_Ov_Optometry!C14,SUM(_Sys_Salem_Optom!C14))</f>
        <v>42</v>
      </c>
      <c r="D14" s="82">
        <f>IF(_Ov_Optometry!D14&lt;&gt;"",_Ov_Optometry!D14,SUM(_Sys_Salem_Optom!D14))</f>
        <v>34</v>
      </c>
      <c r="E14" s="83">
        <f t="shared" si="2"/>
        <v>0.80952380952380953</v>
      </c>
      <c r="F14" s="84">
        <f>IF(_Ov_Optometry!F14&lt;&gt;"",_Ov_Optometry!F14,SUM(_Sys_Salem_Optom!F14))</f>
        <v>0</v>
      </c>
      <c r="G14" s="85">
        <f>IF(_Ov_Optometry!G14&lt;&gt;"",_Ov_Optometry!G14,SUM(_Sys_Salem_Optom!G14))</f>
        <v>0</v>
      </c>
      <c r="H14" s="86" t="str">
        <f t="shared" si="3"/>
        <v/>
      </c>
      <c r="I14" s="87">
        <f>IF(_Ov_Optometry!I14&lt;&gt;"",_Ov_Optometry!I14,SUM(_Sys_Salem_Optom!I14))</f>
        <v>1</v>
      </c>
      <c r="J14" s="88">
        <f>IF(_Ov_Optometry!J14&lt;&gt;"",_Ov_Optometry!J14,SUM(_Sys_Salem_Optom!J14))</f>
        <v>1</v>
      </c>
      <c r="K14" s="89" t="str">
        <f>IF(_Ov_Optometry!K14&lt;&gt;"",_Ov_Optometry!K14,IFERROR(Salem!BA14/Salem!AZ14,""))</f>
        <v/>
      </c>
      <c r="L14" s="90">
        <f>IF(_Ov_Optometry!L14&lt;&gt;"",_Ov_Optometry!L14,SUM(Salem!L14))</f>
        <v>83</v>
      </c>
      <c r="M14" s="91">
        <f>IF(_Ov_Optometry!M14&lt;&gt;"",_Ov_Optometry!M14,SUM(Salem!M14))</f>
        <v>0.67479674796747968</v>
      </c>
      <c r="N14" s="89">
        <f>IF(_Ov_Optometry!N14&lt;&gt;"",_Ov_Optometry!N14,SUM(Salem!N14))</f>
        <v>2</v>
      </c>
      <c r="O14" s="91">
        <f>IF(_Ov_Optometry!O14&lt;&gt;"",_Ov_Optometry!O14,SUM(Salem!O14))</f>
        <v>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4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25">
      <c r="A15" s="1"/>
      <c r="B15" s="62">
        <f>EDATE(DATE(_Setup!$B$4,10,1),ROW()-ROW($B$11))</f>
        <v>46054</v>
      </c>
      <c r="C15" s="81">
        <f>IF(_Ov_Optometry!C15&lt;&gt;"",_Ov_Optometry!C15,SUM(_Sys_Salem_Optom!C15))</f>
        <v>51</v>
      </c>
      <c r="D15" s="82">
        <f>IF(_Ov_Optometry!D15&lt;&gt;"",_Ov_Optometry!D15,SUM(_Sys_Salem_Optom!D15))</f>
        <v>40</v>
      </c>
      <c r="E15" s="83">
        <f t="shared" si="2"/>
        <v>0.78431372549019607</v>
      </c>
      <c r="F15" s="84">
        <f>IF(_Ov_Optometry!F15&lt;&gt;"",_Ov_Optometry!F15,SUM(_Sys_Salem_Optom!F15))</f>
        <v>1</v>
      </c>
      <c r="G15" s="85">
        <f>IF(_Ov_Optometry!G15&lt;&gt;"",_Ov_Optometry!G15,SUM(_Sys_Salem_Optom!G15))</f>
        <v>1</v>
      </c>
      <c r="H15" s="86">
        <f t="shared" si="3"/>
        <v>1</v>
      </c>
      <c r="I15" s="87">
        <f>IF(_Ov_Optometry!I15&lt;&gt;"",_Ov_Optometry!I15,SUM(_Sys_Salem_Optom!I15))</f>
        <v>2</v>
      </c>
      <c r="J15" s="88">
        <f>IF(_Ov_Optometry!J15&lt;&gt;"",_Ov_Optometry!J15,SUM(_Sys_Salem_Optom!J15))</f>
        <v>10</v>
      </c>
      <c r="K15" s="89" t="str">
        <f>IF(_Ov_Optometry!K15&lt;&gt;"",_Ov_Optometry!K15,IFERROR(Salem!BA15/Salem!AZ15,""))</f>
        <v/>
      </c>
      <c r="L15" s="90">
        <f>IF(_Ov_Optometry!L15&lt;&gt;"",_Ov_Optometry!L15,SUM(Salem!L15))</f>
        <v>72</v>
      </c>
      <c r="M15" s="91">
        <f>IF(_Ov_Optometry!M15&lt;&gt;"",_Ov_Optometry!M15,SUM(Salem!M15))</f>
        <v>0.71287128712871284</v>
      </c>
      <c r="N15" s="89">
        <f>IF(_Ov_Optometry!N15&lt;&gt;"",_Ov_Optometry!N15,SUM(Salem!N15))</f>
        <v>0</v>
      </c>
      <c r="O15" s="91">
        <f>IF(_Ov_Optometry!O15&lt;&gt;"",_Ov_Optometry!O15,SUM(Salem!O15))</f>
        <v>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4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25">
      <c r="A16" s="1"/>
      <c r="B16" s="62">
        <f>EDATE(DATE(_Setup!$B$4,10,1),ROW()-ROW($B$11))</f>
        <v>46082</v>
      </c>
      <c r="C16" s="81">
        <f>IF(_Ov_Optometry!C16&lt;&gt;"",_Ov_Optometry!C16,SUM(_Sys_Salem_Optom!C16))</f>
        <v>46</v>
      </c>
      <c r="D16" s="82">
        <f>IF(_Ov_Optometry!D16&lt;&gt;"",_Ov_Optometry!D16,SUM(_Sys_Salem_Optom!D16))</f>
        <v>38</v>
      </c>
      <c r="E16" s="83">
        <f t="shared" si="2"/>
        <v>0.82608695652173914</v>
      </c>
      <c r="F16" s="84">
        <f>IF(_Ov_Optometry!F16&lt;&gt;"",_Ov_Optometry!F16,SUM(_Sys_Salem_Optom!F16))</f>
        <v>0</v>
      </c>
      <c r="G16" s="85">
        <f>IF(_Ov_Optometry!G16&lt;&gt;"",_Ov_Optometry!G16,SUM(_Sys_Salem_Optom!G16))</f>
        <v>0</v>
      </c>
      <c r="H16" s="86" t="str">
        <f t="shared" si="3"/>
        <v/>
      </c>
      <c r="I16" s="87">
        <f>IF(_Ov_Optometry!I16&lt;&gt;"",_Ov_Optometry!I16,SUM(_Sys_Salem_Optom!I16))</f>
        <v>2</v>
      </c>
      <c r="J16" s="88">
        <f>IF(_Ov_Optometry!J16&lt;&gt;"",_Ov_Optometry!J16,SUM(_Sys_Salem_Optom!J16))</f>
        <v>13</v>
      </c>
      <c r="K16" s="89" t="str">
        <f>IF(_Ov_Optometry!K16&lt;&gt;"",_Ov_Optometry!K16,IFERROR(Salem!BA16/Salem!AZ16,""))</f>
        <v/>
      </c>
      <c r="L16" s="90">
        <f>IF(_Ov_Optometry!L16&lt;&gt;"",_Ov_Optometry!L16,SUM(Salem!L16))</f>
        <v>80</v>
      </c>
      <c r="M16" s="91">
        <f>IF(_Ov_Optometry!M16&lt;&gt;"",_Ov_Optometry!M16,SUM(Salem!M16))</f>
        <v>0.79207920792079212</v>
      </c>
      <c r="N16" s="89">
        <f>IF(_Ov_Optometry!N16&lt;&gt;"",_Ov_Optometry!N16,SUM(Salem!N16))</f>
        <v>2</v>
      </c>
      <c r="O16" s="91">
        <f>IF(_Ov_Optometry!O16&lt;&gt;"",_Ov_Optometry!O16,SUM(Salem!O16))</f>
        <v>0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4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25">
      <c r="A17" s="1"/>
      <c r="B17" s="62">
        <f>EDATE(DATE(_Setup!$B$4,10,1),ROW()-ROW($B$11))</f>
        <v>46113</v>
      </c>
      <c r="C17" s="81">
        <f>IF(_Ov_Optometry!C17&lt;&gt;"",_Ov_Optometry!C17,SUM(_Sys_Salem_Optom!C17))</f>
        <v>66</v>
      </c>
      <c r="D17" s="82">
        <f>IF(_Ov_Optometry!D17&lt;&gt;"",_Ov_Optometry!D17,SUM(_Sys_Salem_Optom!D17))</f>
        <v>65</v>
      </c>
      <c r="E17" s="83">
        <f t="shared" si="2"/>
        <v>0.98484848484848486</v>
      </c>
      <c r="F17" s="84">
        <f>IF(_Ov_Optometry!F17&lt;&gt;"",_Ov_Optometry!F17,SUM(_Sys_Salem_Optom!F17))</f>
        <v>0</v>
      </c>
      <c r="G17" s="85">
        <f>IF(_Ov_Optometry!G17&lt;&gt;"",_Ov_Optometry!G17,SUM(_Sys_Salem_Optom!G17))</f>
        <v>0</v>
      </c>
      <c r="H17" s="86" t="str">
        <f t="shared" si="3"/>
        <v/>
      </c>
      <c r="I17" s="87">
        <f>IF(_Ov_Optometry!I17&lt;&gt;"",_Ov_Optometry!I17,SUM(_Sys_Salem_Optom!I17))</f>
        <v>0</v>
      </c>
      <c r="J17" s="88">
        <f>IF(_Ov_Optometry!J17&lt;&gt;"",_Ov_Optometry!J17,SUM(_Sys_Salem_Optom!J17))</f>
        <v>0</v>
      </c>
      <c r="K17" s="89" t="str">
        <f>IF(_Ov_Optometry!K17&lt;&gt;"",_Ov_Optometry!K17,IFERROR(Salem!BA17/Salem!AZ17,""))</f>
        <v/>
      </c>
      <c r="L17" s="90">
        <f>IF(_Ov_Optometry!L17&lt;&gt;"",_Ov_Optometry!L17,SUM(Salem!L17))</f>
        <v>142</v>
      </c>
      <c r="M17" s="91">
        <f>IF(_Ov_Optometry!M17&lt;&gt;"",_Ov_Optometry!M17,SUM(Salem!M17))</f>
        <v>0.89308176100628933</v>
      </c>
      <c r="N17" s="89">
        <f>IF(_Ov_Optometry!N17&lt;&gt;"",_Ov_Optometry!N17,SUM(Salem!N17))</f>
        <v>5</v>
      </c>
      <c r="O17" s="91">
        <f>IF(_Ov_Optometry!O17&lt;&gt;"",_Ov_Optometry!O17,SUM(Salem!O17))</f>
        <v>0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4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25">
      <c r="A18" s="1"/>
      <c r="B18" s="62">
        <f>EDATE(DATE(_Setup!$B$4,10,1),ROW()-ROW($B$11))</f>
        <v>46143</v>
      </c>
      <c r="C18" s="81">
        <f>IF(_Ov_Optometry!C18&lt;&gt;"",_Ov_Optometry!C18,SUM(_Sys_Salem_Optom!C18))</f>
        <v>48</v>
      </c>
      <c r="D18" s="82">
        <f>IF(_Ov_Optometry!D18&lt;&gt;"",_Ov_Optometry!D18,SUM(_Sys_Salem_Optom!D18))</f>
        <v>48</v>
      </c>
      <c r="E18" s="83">
        <f t="shared" si="2"/>
        <v>1</v>
      </c>
      <c r="F18" s="84">
        <f>IF(_Ov_Optometry!F18&lt;&gt;"",_Ov_Optometry!F18,SUM(_Sys_Salem_Optom!F18))</f>
        <v>0</v>
      </c>
      <c r="G18" s="85">
        <f>IF(_Ov_Optometry!G18&lt;&gt;"",_Ov_Optometry!G18,SUM(_Sys_Salem_Optom!G18))</f>
        <v>0</v>
      </c>
      <c r="H18" s="86" t="str">
        <f t="shared" si="3"/>
        <v/>
      </c>
      <c r="I18" s="87">
        <f>IF(_Ov_Optometry!I18&lt;&gt;"",_Ov_Optometry!I18,SUM(_Sys_Salem_Optom!I18))</f>
        <v>1</v>
      </c>
      <c r="J18" s="88">
        <f>IF(_Ov_Optometry!J18&lt;&gt;"",_Ov_Optometry!J18,SUM(_Sys_Salem_Optom!J18))</f>
        <v>11</v>
      </c>
      <c r="K18" s="89" t="str">
        <f>IF(_Ov_Optometry!K18&lt;&gt;"",_Ov_Optometry!K18,IFERROR(Salem!BA18/Salem!AZ18,""))</f>
        <v/>
      </c>
      <c r="L18" s="90">
        <f>IF(_Ov_Optometry!L18&lt;&gt;"",_Ov_Optometry!L18,SUM(Salem!L18))</f>
        <v>0</v>
      </c>
      <c r="M18" s="91">
        <f>IF(_Ov_Optometry!M18&lt;&gt;"",_Ov_Optometry!M18,SUM(Salem!M18))</f>
        <v>0</v>
      </c>
      <c r="N18" s="89">
        <f>IF(_Ov_Optometry!N18&lt;&gt;"",_Ov_Optometry!N18,SUM(Salem!N18))</f>
        <v>0</v>
      </c>
      <c r="O18" s="91">
        <f>IF(_Ov_Optometry!O18&lt;&gt;"",_Ov_Optometry!O18,SUM(Salem!O18))</f>
        <v>0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4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25">
      <c r="A19" s="1"/>
      <c r="B19" s="62">
        <f>EDATE(DATE(_Setup!$B$4,10,1),ROW()-ROW($B$11))</f>
        <v>46174</v>
      </c>
      <c r="C19" s="81">
        <f>IF(_Ov_Optometry!C19&lt;&gt;"",_Ov_Optometry!C19,SUM(_Sys_Salem_Optom!C19))</f>
        <v>31</v>
      </c>
      <c r="D19" s="82">
        <f>IF(_Ov_Optometry!D19&lt;&gt;"",_Ov_Optometry!D19,SUM(_Sys_Salem_Optom!D19))</f>
        <v>31</v>
      </c>
      <c r="E19" s="83">
        <f t="shared" si="2"/>
        <v>1</v>
      </c>
      <c r="F19" s="84">
        <f>IF(_Ov_Optometry!F19&lt;&gt;"",_Ov_Optometry!F19,SUM(_Sys_Salem_Optom!F19))</f>
        <v>0</v>
      </c>
      <c r="G19" s="85">
        <f>IF(_Ov_Optometry!G19&lt;&gt;"",_Ov_Optometry!G19,SUM(_Sys_Salem_Optom!G19))</f>
        <v>0</v>
      </c>
      <c r="H19" s="86" t="str">
        <f t="shared" si="3"/>
        <v/>
      </c>
      <c r="I19" s="87">
        <f>IF(_Ov_Optometry!I19&lt;&gt;"",_Ov_Optometry!I19,SUM(_Sys_Salem_Optom!I19))</f>
        <v>0</v>
      </c>
      <c r="J19" s="88">
        <f>IF(_Ov_Optometry!J19&lt;&gt;"",_Ov_Optometry!J19,SUM(_Sys_Salem_Optom!J19))</f>
        <v>0</v>
      </c>
      <c r="K19" s="89" t="str">
        <f>IF(_Ov_Optometry!K19&lt;&gt;"",_Ov_Optometry!K19,IFERROR(Salem!BA19/Salem!AZ19,""))</f>
        <v/>
      </c>
      <c r="L19" s="90">
        <f>IF(_Ov_Optometry!L19&lt;&gt;"",_Ov_Optometry!L19,SUM(Salem!L19))</f>
        <v>0</v>
      </c>
      <c r="M19" s="91">
        <f>IF(_Ov_Optometry!M19&lt;&gt;"",_Ov_Optometry!M19,SUM(Salem!M19))</f>
        <v>0</v>
      </c>
      <c r="N19" s="89">
        <f>IF(_Ov_Optometry!N19&lt;&gt;"",_Ov_Optometry!N19,SUM(Salem!N19))</f>
        <v>0</v>
      </c>
      <c r="O19" s="91">
        <f>IF(_Ov_Optometry!O19&lt;&gt;"",_Ov_Optometry!O19,SUM(Salem!O19))</f>
        <v>0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4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25">
      <c r="A20" s="1"/>
      <c r="B20" s="62">
        <f>EDATE(DATE(_Setup!$B$4,10,1),ROW()-ROW($B$11))</f>
        <v>46204</v>
      </c>
      <c r="C20" s="81">
        <f>IF(_Ov_Optometry!C20&lt;&gt;"",_Ov_Optometry!C20,SUM(_Sys_Salem_Optom!C20))</f>
        <v>47</v>
      </c>
      <c r="D20" s="82">
        <f>IF(_Ov_Optometry!D20&lt;&gt;"",_Ov_Optometry!D20,SUM(_Sys_Salem_Optom!D20))</f>
        <v>43</v>
      </c>
      <c r="E20" s="83">
        <f t="shared" si="2"/>
        <v>0.91489361702127658</v>
      </c>
      <c r="F20" s="84">
        <f>IF(_Ov_Optometry!F20&lt;&gt;"",_Ov_Optometry!F20,SUM(_Sys_Salem_Optom!F20))</f>
        <v>0</v>
      </c>
      <c r="G20" s="85">
        <f>IF(_Ov_Optometry!G20&lt;&gt;"",_Ov_Optometry!G20,SUM(_Sys_Salem_Optom!G20))</f>
        <v>0</v>
      </c>
      <c r="H20" s="86" t="str">
        <f t="shared" si="3"/>
        <v/>
      </c>
      <c r="I20" s="87">
        <f>IF(_Ov_Optometry!I20&lt;&gt;"",_Ov_Optometry!I20,SUM(_Sys_Salem_Optom!I20))</f>
        <v>0</v>
      </c>
      <c r="J20" s="88">
        <f>IF(_Ov_Optometry!J20&lt;&gt;"",_Ov_Optometry!J20,SUM(_Sys_Salem_Optom!J20))</f>
        <v>0</v>
      </c>
      <c r="K20" s="89" t="str">
        <f>IF(_Ov_Optometry!K20&lt;&gt;"",_Ov_Optometry!K20,IFERROR(Salem!BA20/Salem!AZ20,""))</f>
        <v/>
      </c>
      <c r="L20" s="90">
        <f>IF(_Ov_Optometry!L20&lt;&gt;"",_Ov_Optometry!L20,SUM(Salem!L20))</f>
        <v>0</v>
      </c>
      <c r="M20" s="91">
        <f>IF(_Ov_Optometry!M20&lt;&gt;"",_Ov_Optometry!M20,SUM(Salem!M20))</f>
        <v>0</v>
      </c>
      <c r="N20" s="89">
        <f>IF(_Ov_Optometry!N20&lt;&gt;"",_Ov_Optometry!N20,SUM(Salem!N20))</f>
        <v>0</v>
      </c>
      <c r="O20" s="91">
        <f>IF(_Ov_Optometry!O20&lt;&gt;"",_Ov_Optometry!O20,SUM(Salem!O20))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25">
      <c r="A21" s="1"/>
      <c r="B21" s="62">
        <f>EDATE(DATE(_Setup!$B$4,10,1),ROW()-ROW($B$11))</f>
        <v>46235</v>
      </c>
      <c r="C21" s="81">
        <f>IF(_Ov_Optometry!C21&lt;&gt;"",_Ov_Optometry!C21,SUM(_Sys_Salem_Optom!C21))</f>
        <v>0</v>
      </c>
      <c r="D21" s="82">
        <f>IF(_Ov_Optometry!D21&lt;&gt;"",_Ov_Optometry!D21,SUM(_Sys_Salem_Optom!D21))</f>
        <v>0</v>
      </c>
      <c r="E21" s="83" t="str">
        <f t="shared" si="2"/>
        <v/>
      </c>
      <c r="F21" s="84">
        <f>IF(_Ov_Optometry!F21&lt;&gt;"",_Ov_Optometry!F21,SUM(_Sys_Salem_Optom!F21))</f>
        <v>0</v>
      </c>
      <c r="G21" s="85">
        <f>IF(_Ov_Optometry!G21&lt;&gt;"",_Ov_Optometry!G21,SUM(_Sys_Salem_Optom!G21))</f>
        <v>0</v>
      </c>
      <c r="H21" s="86" t="str">
        <f t="shared" si="3"/>
        <v/>
      </c>
      <c r="I21" s="87">
        <f>IF(_Ov_Optometry!I21&lt;&gt;"",_Ov_Optometry!I21,SUM(_Sys_Salem_Optom!I21))</f>
        <v>0</v>
      </c>
      <c r="J21" s="88">
        <f>IF(_Ov_Optometry!J21&lt;&gt;"",_Ov_Optometry!J21,SUM(_Sys_Salem_Optom!J21))</f>
        <v>0</v>
      </c>
      <c r="K21" s="89" t="str">
        <f>IF(_Ov_Optometry!K21&lt;&gt;"",_Ov_Optometry!K21,IFERROR(Salem!BA21/Salem!AZ21,""))</f>
        <v/>
      </c>
      <c r="L21" s="90">
        <f>IF(_Ov_Optometry!L21&lt;&gt;"",_Ov_Optometry!L21,SUM(Salem!L21))</f>
        <v>0</v>
      </c>
      <c r="M21" s="91">
        <f>IF(_Ov_Optometry!M21&lt;&gt;"",_Ov_Optometry!M21,SUM(Salem!M21))</f>
        <v>0</v>
      </c>
      <c r="N21" s="89">
        <f>IF(_Ov_Optometry!N21&lt;&gt;"",_Ov_Optometry!N21,SUM(Salem!N21))</f>
        <v>0</v>
      </c>
      <c r="O21" s="91">
        <f>IF(_Ov_Optometry!O21&lt;&gt;"",_Ov_Optometry!O21,SUM(Salem!O21))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25">
      <c r="A22" s="1"/>
      <c r="B22" s="62">
        <f>EDATE(DATE(_Setup!$B$4,10,1),ROW()-ROW($B$11))</f>
        <v>46266</v>
      </c>
      <c r="C22" s="100">
        <f>IF(_Ov_Optometry!C22&lt;&gt;"",_Ov_Optometry!C22,SUM(_Sys_Salem_Optom!C22))</f>
        <v>0</v>
      </c>
      <c r="D22" s="101">
        <f>IF(_Ov_Optometry!D22&lt;&gt;"",_Ov_Optometry!D22,SUM(_Sys_Salem_Optom!D22))</f>
        <v>0</v>
      </c>
      <c r="E22" s="102" t="str">
        <f t="shared" si="2"/>
        <v/>
      </c>
      <c r="F22" s="103">
        <f>IF(_Ov_Optometry!F22&lt;&gt;"",_Ov_Optometry!F22,SUM(_Sys_Salem_Optom!F22))</f>
        <v>0</v>
      </c>
      <c r="G22" s="104">
        <f>IF(_Ov_Optometry!G22&lt;&gt;"",_Ov_Optometry!G22,SUM(_Sys_Salem_Optom!G22))</f>
        <v>0</v>
      </c>
      <c r="H22" s="105" t="str">
        <f t="shared" si="3"/>
        <v/>
      </c>
      <c r="I22" s="106">
        <f>IF(_Ov_Optometry!I22&lt;&gt;"",_Ov_Optometry!I22,SUM(_Sys_Salem_Optom!I22))</f>
        <v>0</v>
      </c>
      <c r="J22" s="107">
        <f>IF(_Ov_Optometry!J22&lt;&gt;"",_Ov_Optometry!J22,SUM(_Sys_Salem_Optom!J22))</f>
        <v>0</v>
      </c>
      <c r="K22" s="108" t="str">
        <f>IF(_Ov_Optometry!K22&lt;&gt;"",_Ov_Optometry!K22,IFERROR(Salem!BA22/Salem!AZ22,""))</f>
        <v/>
      </c>
      <c r="L22" s="109">
        <f>IF(_Ov_Optometry!L22&lt;&gt;"",_Ov_Optometry!L22,SUM(Salem!L22))</f>
        <v>0</v>
      </c>
      <c r="M22" s="110">
        <f>IF(_Ov_Optometry!M22&lt;&gt;"",_Ov_Optometry!M22,SUM(Salem!M22))</f>
        <v>0</v>
      </c>
      <c r="N22" s="108">
        <f>IF(_Ov_Optometry!N22&lt;&gt;"",_Ov_Optometry!N22,SUM(Salem!N22))</f>
        <v>0</v>
      </c>
      <c r="O22" s="110">
        <f>IF(_Ov_Optometry!O22&lt;&gt;"",_Ov_Optometry!O22,SUM(Salem!O22))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25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25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Q74"/>
  <sheetViews>
    <sheetView workbookViewId="0">
      <selection activeCell="M31" sqref="M31"/>
    </sheetView>
  </sheetViews>
  <sheetFormatPr defaultRowHeight="15" x14ac:dyDescent="0.25"/>
  <cols>
    <col min="1" max="1" width="10.7109375" customWidth="1"/>
    <col min="14" max="14" width="10.7109375" customWidth="1"/>
    <col min="21" max="21" width="10.7109375" customWidth="1"/>
    <col min="26" max="26" width="10.7109375" customWidth="1"/>
  </cols>
  <sheetData>
    <row r="1" spans="1:43" ht="15" customHeight="1" x14ac:dyDescent="0.25">
      <c r="A1" s="20" t="s">
        <v>154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25">
      <c r="A2" s="20"/>
      <c r="B2" s="128"/>
      <c r="C2" s="252" t="s">
        <v>0</v>
      </c>
      <c r="D2" s="253"/>
      <c r="E2" s="253"/>
      <c r="F2" s="253"/>
      <c r="G2" s="266" t="s">
        <v>1</v>
      </c>
      <c r="H2" s="253"/>
      <c r="I2" s="253"/>
      <c r="J2" s="253"/>
      <c r="K2" s="253"/>
      <c r="L2" s="253"/>
      <c r="M2" s="269" t="s">
        <v>2</v>
      </c>
      <c r="N2" s="253"/>
      <c r="O2" s="253"/>
      <c r="P2" s="265" t="s">
        <v>3</v>
      </c>
      <c r="Q2" s="253"/>
      <c r="R2" s="129"/>
      <c r="S2" s="129"/>
      <c r="T2" s="129"/>
      <c r="U2" s="301"/>
      <c r="V2" s="253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20"/>
      <c r="B3" s="128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129"/>
      <c r="S3" s="129"/>
      <c r="T3" s="129"/>
      <c r="U3" s="253"/>
      <c r="V3" s="253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25">
      <c r="A4" s="20"/>
      <c r="B4" s="128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129"/>
      <c r="S4" s="129"/>
      <c r="T4" s="129"/>
      <c r="U4" s="253"/>
      <c r="V4" s="253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25">
      <c r="A5" s="20"/>
      <c r="B5" s="6" t="s">
        <v>11</v>
      </c>
      <c r="C5" s="7">
        <f t="shared" ref="C5:Q5" si="0">AVERAGE(C11:C22)</f>
        <v>6.916666666666667</v>
      </c>
      <c r="D5" s="7">
        <f t="shared" si="0"/>
        <v>3.3333333333333335</v>
      </c>
      <c r="E5" s="131">
        <f t="shared" si="0"/>
        <v>0.49709457209457214</v>
      </c>
      <c r="F5" s="16">
        <f t="shared" si="0"/>
        <v>0.25</v>
      </c>
      <c r="G5" s="132">
        <f t="shared" si="0"/>
        <v>0.25</v>
      </c>
      <c r="H5" s="133">
        <f t="shared" si="0"/>
        <v>1</v>
      </c>
      <c r="I5" s="9">
        <f t="shared" si="0"/>
        <v>0.66666666666666663</v>
      </c>
      <c r="J5" s="134">
        <f t="shared" si="0"/>
        <v>4.416666666666667</v>
      </c>
      <c r="K5" s="134" t="e">
        <f t="shared" si="0"/>
        <v>#DIV/0!</v>
      </c>
      <c r="L5" s="135">
        <f t="shared" si="0"/>
        <v>47.666666666666664</v>
      </c>
      <c r="M5" s="135">
        <f t="shared" si="0"/>
        <v>0.61252204900872909</v>
      </c>
      <c r="N5" s="14">
        <f t="shared" si="0"/>
        <v>0.16666666666666666</v>
      </c>
      <c r="O5" s="135">
        <f t="shared" si="0"/>
        <v>0</v>
      </c>
      <c r="P5" s="14">
        <f t="shared" si="0"/>
        <v>5</v>
      </c>
      <c r="Q5" s="136">
        <f t="shared" si="0"/>
        <v>0</v>
      </c>
      <c r="R5" s="306" t="s">
        <v>12</v>
      </c>
      <c r="S5" s="303"/>
      <c r="T5" s="304">
        <f>AVERAGE(T11:T12)</f>
        <v>0</v>
      </c>
      <c r="U5" s="137"/>
      <c r="V5" s="304">
        <f>AVERAGE(V11:V12)</f>
        <v>1.375</v>
      </c>
      <c r="W5" s="130"/>
      <c r="X5" s="304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25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7"/>
      <c r="S6" s="303"/>
      <c r="T6" s="305"/>
      <c r="U6" s="137"/>
      <c r="V6" s="305"/>
      <c r="W6" s="130"/>
      <c r="X6" s="305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25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2" t="s">
        <v>14</v>
      </c>
      <c r="S7" s="30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25">
      <c r="A8" s="20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5" t="s">
        <v>21</v>
      </c>
      <c r="L8" s="255" t="s">
        <v>22</v>
      </c>
      <c r="M8" s="257" t="s">
        <v>23</v>
      </c>
      <c r="N8" s="263" t="s">
        <v>24</v>
      </c>
      <c r="O8" s="271" t="s">
        <v>25</v>
      </c>
      <c r="P8" s="264" t="s">
        <v>26</v>
      </c>
      <c r="Q8" s="270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8" t="s">
        <v>147</v>
      </c>
      <c r="X8" s="253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25">
      <c r="A9" s="20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147"/>
      <c r="W9" s="253"/>
      <c r="X9" s="253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25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3"/>
      <c r="X10" s="253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25">
      <c r="A11" s="20"/>
      <c r="B11" s="62">
        <f>EDATE(DATE(_Setup!$B$4,10,1),ROW()-ROW($B$11))</f>
        <v>45931</v>
      </c>
      <c r="C11" s="63">
        <f>IF(_Ov_Ophthalmology!C11&lt;&gt;"",_Ov_Ophthalmology!C11,SUM(Bend!C11))</f>
        <v>4</v>
      </c>
      <c r="D11" s="64">
        <f>IF(_Ov_Ophthalmology!D11&lt;&gt;"",_Ov_Ophthalmology!D11,SUM(Bend!D11))</f>
        <v>0</v>
      </c>
      <c r="E11" s="65">
        <f t="shared" ref="E11:E22" si="1">IFERROR(D11/C11,"")</f>
        <v>0</v>
      </c>
      <c r="F11" s="66">
        <f>IF(_Ov_Ophthalmology!F11&lt;&gt;"",_Ov_Ophthalmology!F11,SUM(Bend!F11))</f>
        <v>0</v>
      </c>
      <c r="G11" s="67">
        <f>IF(_Ov_Ophthalmology!G11&lt;&gt;"",_Ov_Ophthalmology!G11,SUM(Bend!G11))</f>
        <v>0</v>
      </c>
      <c r="H11" s="150" t="str">
        <f t="shared" ref="H11:H22" si="2">IFERROR(G11/F11,"")</f>
        <v/>
      </c>
      <c r="I11" s="151">
        <f>IF(_Ov_Ophthalmology!I11&lt;&gt;"",_Ov_Ophthalmology!I11,SUM(Bend!I11))</f>
        <v>3</v>
      </c>
      <c r="J11" s="151">
        <f>IF(_Ov_Ophthalmology!J11&lt;&gt;"",_Ov_Ophthalmology!J11,SUM(Bend!J11))</f>
        <v>18</v>
      </c>
      <c r="K11" s="151" t="str">
        <f>IF(_Ov_Ophthalmology!K11&lt;&gt;"",_Ov_Ophthalmology!K11,IFERROR(Bend!BA11/Bend!AZ11,""))</f>
        <v/>
      </c>
      <c r="L11" s="73">
        <f>IF(_Ov_Ophthalmology!L11&lt;&gt;"",_Ov_Ophthalmology!L11,SUM(Bend!L11))</f>
        <v>52</v>
      </c>
      <c r="M11" s="71">
        <f>IF(_Ov_Ophthalmology!M11&lt;&gt;"",_Ov_Ophthalmology!M11,SUM(Bend!M11))</f>
        <v>0.94545454545454544</v>
      </c>
      <c r="N11" s="71">
        <f>IF(_Ov_Ophthalmology!N11&lt;&gt;"",_Ov_Ophthalmology!N11,SUM(Bend!N11))</f>
        <v>0</v>
      </c>
      <c r="O11" s="73">
        <f>IF(_Ov_Ophthalmology!O11&lt;&gt;"",_Ov_Ophthalmology!O11,SUM(Bend!O11))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3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25">
      <c r="A12" s="20"/>
      <c r="B12" s="62">
        <f>EDATE(DATE(_Setup!$B$4,10,1),ROW()-ROW($B$11))</f>
        <v>45962</v>
      </c>
      <c r="C12" s="81">
        <f>IF(_Ov_Ophthalmology!C12&lt;&gt;"",_Ov_Ophthalmology!C12,SUM(Bend!C12))</f>
        <v>7</v>
      </c>
      <c r="D12" s="82">
        <f>IF(_Ov_Ophthalmology!D12&lt;&gt;"",_Ov_Ophthalmology!D12,SUM(Bend!D12))</f>
        <v>1</v>
      </c>
      <c r="E12" s="83">
        <f t="shared" si="1"/>
        <v>0.14285714285714285</v>
      </c>
      <c r="F12" s="84">
        <f>IF(_Ov_Ophthalmology!F12&lt;&gt;"",_Ov_Ophthalmology!F12,SUM(Bend!F12))</f>
        <v>0</v>
      </c>
      <c r="G12" s="85">
        <f>IF(_Ov_Ophthalmology!G12&lt;&gt;"",_Ov_Ophthalmology!G12,SUM(Bend!G12))</f>
        <v>0</v>
      </c>
      <c r="H12" s="157" t="str">
        <f t="shared" si="2"/>
        <v/>
      </c>
      <c r="I12" s="154">
        <f>IF(_Ov_Ophthalmology!I12&lt;&gt;"",_Ov_Ophthalmology!I12,SUM(Bend!I12))</f>
        <v>4</v>
      </c>
      <c r="J12" s="154">
        <f>IF(_Ov_Ophthalmology!J12&lt;&gt;"",_Ov_Ophthalmology!J12,SUM(Bend!J12))</f>
        <v>21</v>
      </c>
      <c r="K12" s="154" t="str">
        <f>IF(_Ov_Ophthalmology!K12&lt;&gt;"",_Ov_Ophthalmology!K12,IFERROR(Bend!BA12/Bend!AZ12,""))</f>
        <v/>
      </c>
      <c r="L12" s="91">
        <f>IF(_Ov_Ophthalmology!L12&lt;&gt;"",_Ov_Ophthalmology!L12,SUM(Bend!L12))</f>
        <v>43</v>
      </c>
      <c r="M12" s="89">
        <f>IF(_Ov_Ophthalmology!M12&lt;&gt;"",_Ov_Ophthalmology!M12,SUM(Bend!M12))</f>
        <v>0.87755102040816324</v>
      </c>
      <c r="N12" s="89">
        <f>IF(_Ov_Ophthalmology!N12&lt;&gt;"",_Ov_Ophthalmology!N12,SUM(Bend!N12))</f>
        <v>0</v>
      </c>
      <c r="O12" s="91">
        <f>IF(_Ov_Ophthalmology!O12&lt;&gt;"",_Ov_Ophthalmology!O12,SUM(Bend!O12))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3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25">
      <c r="A13" s="20"/>
      <c r="B13" s="62">
        <f>EDATE(DATE(_Setup!$B$4,10,1),ROW()-ROW($B$11))</f>
        <v>45992</v>
      </c>
      <c r="C13" s="81">
        <f>IF(_Ov_Ophthalmology!C13&lt;&gt;"",_Ov_Ophthalmology!C13,SUM(Bend!C13))</f>
        <v>13</v>
      </c>
      <c r="D13" s="82">
        <f>IF(_Ov_Ophthalmology!D13&lt;&gt;"",_Ov_Ophthalmology!D13,SUM(Bend!D13))</f>
        <v>2</v>
      </c>
      <c r="E13" s="83">
        <f t="shared" si="1"/>
        <v>0.15384615384615385</v>
      </c>
      <c r="F13" s="84">
        <f>IF(_Ov_Ophthalmology!F13&lt;&gt;"",_Ov_Ophthalmology!F13,SUM(Bend!F13))</f>
        <v>0</v>
      </c>
      <c r="G13" s="85">
        <f>IF(_Ov_Ophthalmology!G13&lt;&gt;"",_Ov_Ophthalmology!G13,SUM(Bend!G13))</f>
        <v>0</v>
      </c>
      <c r="H13" s="157" t="str">
        <f t="shared" si="2"/>
        <v/>
      </c>
      <c r="I13" s="154">
        <f>IF(_Ov_Ophthalmology!I13&lt;&gt;"",_Ov_Ophthalmology!I13,SUM(Bend!I13))</f>
        <v>1</v>
      </c>
      <c r="J13" s="154">
        <f>IF(_Ov_Ophthalmology!J13&lt;&gt;"",_Ov_Ophthalmology!J13,SUM(Bend!J13))</f>
        <v>14</v>
      </c>
      <c r="K13" s="154" t="str">
        <f>IF(_Ov_Ophthalmology!K13&lt;&gt;"",_Ov_Ophthalmology!K13,IFERROR(Bend!BA13/Bend!AZ13,""))</f>
        <v/>
      </c>
      <c r="L13" s="91">
        <f>IF(_Ov_Ophthalmology!L13&lt;&gt;"",_Ov_Ophthalmology!L13,SUM(Bend!L13))</f>
        <v>75</v>
      </c>
      <c r="M13" s="89">
        <f>IF(_Ov_Ophthalmology!M13&lt;&gt;"",_Ov_Ophthalmology!M13,SUM(Bend!M13))</f>
        <v>0.90361445783132532</v>
      </c>
      <c r="N13" s="89">
        <f>IF(_Ov_Ophthalmology!N13&lt;&gt;"",_Ov_Ophthalmology!N13,SUM(Bend!N13))</f>
        <v>0</v>
      </c>
      <c r="O13" s="91">
        <f>IF(_Ov_Ophthalmology!O13&lt;&gt;"",_Ov_Ophthalmology!O13,SUM(Bend!O13))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3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25">
      <c r="A14" s="20"/>
      <c r="B14" s="62">
        <f>EDATE(DATE(_Setup!$B$4,10,1),ROW()-ROW($B$11))</f>
        <v>46023</v>
      </c>
      <c r="C14" s="81">
        <f>IF(_Ov_Ophthalmology!C14&lt;&gt;"",_Ov_Ophthalmology!C14,SUM(Bend!C14))</f>
        <v>9</v>
      </c>
      <c r="D14" s="82">
        <f>IF(_Ov_Ophthalmology!D14&lt;&gt;"",_Ov_Ophthalmology!D14,SUM(Bend!D14))</f>
        <v>0</v>
      </c>
      <c r="E14" s="83">
        <f t="shared" si="1"/>
        <v>0</v>
      </c>
      <c r="F14" s="84">
        <f>IF(_Ov_Ophthalmology!F14&lt;&gt;"",_Ov_Ophthalmology!F14,SUM(Bend!F14))</f>
        <v>0</v>
      </c>
      <c r="G14" s="85">
        <f>IF(_Ov_Ophthalmology!G14&lt;&gt;"",_Ov_Ophthalmology!G14,SUM(Bend!G14))</f>
        <v>0</v>
      </c>
      <c r="H14" s="157" t="str">
        <f t="shared" si="2"/>
        <v/>
      </c>
      <c r="I14" s="154">
        <f>IF(_Ov_Ophthalmology!I14&lt;&gt;"",_Ov_Ophthalmology!I14,SUM(Bend!I14))</f>
        <v>0</v>
      </c>
      <c r="J14" s="154">
        <f>IF(_Ov_Ophthalmology!J14&lt;&gt;"",_Ov_Ophthalmology!J14,SUM(Bend!J14))</f>
        <v>0</v>
      </c>
      <c r="K14" s="154" t="str">
        <f>IF(_Ov_Ophthalmology!K14&lt;&gt;"",_Ov_Ophthalmology!K14,IFERROR(Bend!BA14/Bend!AZ14,""))</f>
        <v/>
      </c>
      <c r="L14" s="91">
        <f>IF(_Ov_Ophthalmology!L14&lt;&gt;"",_Ov_Ophthalmology!L14,SUM(Bend!L14))</f>
        <v>63</v>
      </c>
      <c r="M14" s="89">
        <f>IF(_Ov_Ophthalmology!M14&lt;&gt;"",_Ov_Ophthalmology!M14,SUM(Bend!M14))</f>
        <v>0.91304347826086951</v>
      </c>
      <c r="N14" s="89">
        <f>IF(_Ov_Ophthalmology!N14&lt;&gt;"",_Ov_Ophthalmology!N14,SUM(Bend!N14))</f>
        <v>1</v>
      </c>
      <c r="O14" s="91">
        <f>IF(_Ov_Ophthalmology!O14&lt;&gt;"",_Ov_Ophthalmology!O14,SUM(Bend!O14))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3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25">
      <c r="A15" s="20"/>
      <c r="B15" s="62">
        <f>EDATE(DATE(_Setup!$B$4,10,1),ROW()-ROW($B$11))</f>
        <v>46054</v>
      </c>
      <c r="C15" s="81">
        <f>IF(_Ov_Ophthalmology!C15&lt;&gt;"",_Ov_Ophthalmology!C15,SUM(Bend!C15))</f>
        <v>11</v>
      </c>
      <c r="D15" s="82">
        <f>IF(_Ov_Ophthalmology!D15&lt;&gt;"",_Ov_Ophthalmology!D15,SUM(Bend!D15))</f>
        <v>1</v>
      </c>
      <c r="E15" s="83">
        <f t="shared" si="1"/>
        <v>9.0909090909090912E-2</v>
      </c>
      <c r="F15" s="84">
        <f>IF(_Ov_Ophthalmology!F15&lt;&gt;"",_Ov_Ophthalmology!F15,SUM(Bend!F15))</f>
        <v>1</v>
      </c>
      <c r="G15" s="85">
        <f>IF(_Ov_Ophthalmology!G15&lt;&gt;"",_Ov_Ophthalmology!G15,SUM(Bend!G15))</f>
        <v>1</v>
      </c>
      <c r="H15" s="157">
        <f t="shared" si="2"/>
        <v>1</v>
      </c>
      <c r="I15" s="154">
        <f>IF(_Ov_Ophthalmology!I15&lt;&gt;"",_Ov_Ophthalmology!I15,SUM(Bend!I15))</f>
        <v>0</v>
      </c>
      <c r="J15" s="154">
        <f>IF(_Ov_Ophthalmology!J15&lt;&gt;"",_Ov_Ophthalmology!J15,SUM(Bend!J15))</f>
        <v>0</v>
      </c>
      <c r="K15" s="154" t="str">
        <f>IF(_Ov_Ophthalmology!K15&lt;&gt;"",_Ov_Ophthalmology!K15,IFERROR(Bend!BA15/Bend!AZ15,""))</f>
        <v/>
      </c>
      <c r="L15" s="91">
        <f>IF(_Ov_Ophthalmology!L15&lt;&gt;"",_Ov_Ophthalmology!L15,SUM(Bend!L15))</f>
        <v>87</v>
      </c>
      <c r="M15" s="89">
        <f>IF(_Ov_Ophthalmology!M15&lt;&gt;"",_Ov_Ophthalmology!M15,SUM(Bend!M15))</f>
        <v>0.92553191489361697</v>
      </c>
      <c r="N15" s="89">
        <f>IF(_Ov_Ophthalmology!N15&lt;&gt;"",_Ov_Ophthalmology!N15,SUM(Bend!N15))</f>
        <v>0</v>
      </c>
      <c r="O15" s="91">
        <f>IF(_Ov_Ophthalmology!O15&lt;&gt;"",_Ov_Ophthalmology!O15,SUM(Bend!O15))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3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25">
      <c r="A16" s="20"/>
      <c r="B16" s="62">
        <f>EDATE(DATE(_Setup!$B$4,10,1),ROW()-ROW($B$11))</f>
        <v>46082</v>
      </c>
      <c r="C16" s="81">
        <f>IF(_Ov_Ophthalmology!C16&lt;&gt;"",_Ov_Ophthalmology!C16,SUM(Bend!C16))</f>
        <v>4</v>
      </c>
      <c r="D16" s="82">
        <f>IF(_Ov_Ophthalmology!D16&lt;&gt;"",_Ov_Ophthalmology!D16,SUM(Bend!D16))</f>
        <v>3</v>
      </c>
      <c r="E16" s="83">
        <f t="shared" si="1"/>
        <v>0.75</v>
      </c>
      <c r="F16" s="84">
        <f>IF(_Ov_Ophthalmology!F16&lt;&gt;"",_Ov_Ophthalmology!F16,SUM(Bend!F16))</f>
        <v>0</v>
      </c>
      <c r="G16" s="85">
        <f>IF(_Ov_Ophthalmology!G16&lt;&gt;"",_Ov_Ophthalmology!G16,SUM(Bend!G16))</f>
        <v>0</v>
      </c>
      <c r="H16" s="157" t="str">
        <f t="shared" si="2"/>
        <v/>
      </c>
      <c r="I16" s="154">
        <f>IF(_Ov_Ophthalmology!I16&lt;&gt;"",_Ov_Ophthalmology!I16,SUM(Bend!I16))</f>
        <v>0</v>
      </c>
      <c r="J16" s="154">
        <f>IF(_Ov_Ophthalmology!J16&lt;&gt;"",_Ov_Ophthalmology!J16,SUM(Bend!J16))</f>
        <v>0</v>
      </c>
      <c r="K16" s="154" t="str">
        <f>IF(_Ov_Ophthalmology!K16&lt;&gt;"",_Ov_Ophthalmology!K16,IFERROR(Bend!BA16/Bend!AZ16,""))</f>
        <v/>
      </c>
      <c r="L16" s="91">
        <f>IF(_Ov_Ophthalmology!L16&lt;&gt;"",_Ov_Ophthalmology!L16,SUM(Bend!L16))</f>
        <v>89</v>
      </c>
      <c r="M16" s="89">
        <f>IF(_Ov_Ophthalmology!M16&lt;&gt;"",_Ov_Ophthalmology!M16,SUM(Bend!M16))</f>
        <v>0.92708333333333337</v>
      </c>
      <c r="N16" s="89">
        <f>IF(_Ov_Ophthalmology!N16&lt;&gt;"",_Ov_Ophthalmology!N16,SUM(Bend!N16))</f>
        <v>1</v>
      </c>
      <c r="O16" s="91">
        <f>IF(_Ov_Ophthalmology!O16&lt;&gt;"",_Ov_Ophthalmology!O16,SUM(Bend!O16))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3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25">
      <c r="A17" s="20"/>
      <c r="B17" s="62">
        <f>EDATE(DATE(_Setup!$B$4,10,1),ROW()-ROW($B$11))</f>
        <v>46113</v>
      </c>
      <c r="C17" s="81">
        <f>IF(_Ov_Ophthalmology!C17&lt;&gt;"",_Ov_Ophthalmology!C17,SUM(Bend!C17))</f>
        <v>15</v>
      </c>
      <c r="D17" s="82">
        <f>IF(_Ov_Ophthalmology!D17&lt;&gt;"",_Ov_Ophthalmology!D17,SUM(Bend!D17))</f>
        <v>14</v>
      </c>
      <c r="E17" s="83">
        <f t="shared" si="1"/>
        <v>0.93333333333333335</v>
      </c>
      <c r="F17" s="84">
        <f>IF(_Ov_Ophthalmology!F17&lt;&gt;"",_Ov_Ophthalmology!F17,SUM(Bend!F17))</f>
        <v>0</v>
      </c>
      <c r="G17" s="85">
        <f>IF(_Ov_Ophthalmology!G17&lt;&gt;"",_Ov_Ophthalmology!G17,SUM(Bend!G17))</f>
        <v>0</v>
      </c>
      <c r="H17" s="157" t="str">
        <f t="shared" si="2"/>
        <v/>
      </c>
      <c r="I17" s="154">
        <f>IF(_Ov_Ophthalmology!I17&lt;&gt;"",_Ov_Ophthalmology!I17,SUM(Bend!I17))</f>
        <v>0</v>
      </c>
      <c r="J17" s="154">
        <f>IF(_Ov_Ophthalmology!J17&lt;&gt;"",_Ov_Ophthalmology!J17,SUM(Bend!J17))</f>
        <v>0</v>
      </c>
      <c r="K17" s="154" t="str">
        <f>IF(_Ov_Ophthalmology!K17&lt;&gt;"",_Ov_Ophthalmology!K17,IFERROR(Bend!BA17/Bend!AZ17,""))</f>
        <v/>
      </c>
      <c r="L17" s="91">
        <f>IF(_Ov_Ophthalmology!L17&lt;&gt;"",_Ov_Ophthalmology!L17,SUM(Bend!L17))</f>
        <v>90</v>
      </c>
      <c r="M17" s="89">
        <f>IF(_Ov_Ophthalmology!M17&lt;&gt;"",_Ov_Ophthalmology!M17,SUM(Bend!M17))</f>
        <v>0.967741935483871</v>
      </c>
      <c r="N17" s="89">
        <f>IF(_Ov_Ophthalmology!N17&lt;&gt;"",_Ov_Ophthalmology!N17,SUM(Bend!N17))</f>
        <v>0</v>
      </c>
      <c r="O17" s="91">
        <f>IF(_Ov_Ophthalmology!O17&lt;&gt;"",_Ov_Ophthalmology!O17,SUM(Bend!O17))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3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25">
      <c r="A18" s="20"/>
      <c r="B18" s="62">
        <f>EDATE(DATE(_Setup!$B$4,10,1),ROW()-ROW($B$11))</f>
        <v>46143</v>
      </c>
      <c r="C18" s="81">
        <f>IF(_Ov_Ophthalmology!C18&lt;&gt;"",_Ov_Ophthalmology!C18,SUM(Bend!C18))</f>
        <v>10</v>
      </c>
      <c r="D18" s="82">
        <f>IF(_Ov_Ophthalmology!D18&lt;&gt;"",_Ov_Ophthalmology!D18,SUM(Bend!D18))</f>
        <v>9</v>
      </c>
      <c r="E18" s="83">
        <f t="shared" si="1"/>
        <v>0.9</v>
      </c>
      <c r="F18" s="84">
        <f>IF(_Ov_Ophthalmology!F18&lt;&gt;"",_Ov_Ophthalmology!F18,SUM(Bend!F18))</f>
        <v>0</v>
      </c>
      <c r="G18" s="85">
        <f>IF(_Ov_Ophthalmology!G18&lt;&gt;"",_Ov_Ophthalmology!G18,SUM(Bend!G18))</f>
        <v>0</v>
      </c>
      <c r="H18" s="157" t="str">
        <f t="shared" si="2"/>
        <v/>
      </c>
      <c r="I18" s="154">
        <f>IF(_Ov_Ophthalmology!I18&lt;&gt;"",_Ov_Ophthalmology!I18,SUM(Bend!I18))</f>
        <v>0</v>
      </c>
      <c r="J18" s="154">
        <f>IF(_Ov_Ophthalmology!J18&lt;&gt;"",_Ov_Ophthalmology!J18,SUM(Bend!J18))</f>
        <v>0</v>
      </c>
      <c r="K18" s="154" t="str">
        <f>IF(_Ov_Ophthalmology!K18&lt;&gt;"",_Ov_Ophthalmology!K18,IFERROR(Bend!BA18/Bend!AZ18,""))</f>
        <v/>
      </c>
      <c r="L18" s="91">
        <f>IF(_Ov_Ophthalmology!L18&lt;&gt;"",_Ov_Ophthalmology!L18,SUM(Bend!L18))</f>
        <v>73</v>
      </c>
      <c r="M18" s="89">
        <f>IF(_Ov_Ophthalmology!M18&lt;&gt;"",_Ov_Ophthalmology!M18,SUM(Bend!M18))</f>
        <v>0.8902439024390244</v>
      </c>
      <c r="N18" s="89">
        <f>IF(_Ov_Ophthalmology!N18&lt;&gt;"",_Ov_Ophthalmology!N18,SUM(Bend!N18))</f>
        <v>0</v>
      </c>
      <c r="O18" s="91">
        <f>IF(_Ov_Ophthalmology!O18&lt;&gt;"",_Ov_Ophthalmology!O18,SUM(Bend!O18))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3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25">
      <c r="A19" s="20"/>
      <c r="B19" s="62">
        <f>EDATE(DATE(_Setup!$B$4,10,1),ROW()-ROW($B$11))</f>
        <v>46174</v>
      </c>
      <c r="C19" s="81">
        <f>IF(_Ov_Ophthalmology!C19&lt;&gt;"",_Ov_Ophthalmology!C19,SUM(Bend!C19))</f>
        <v>4</v>
      </c>
      <c r="D19" s="82">
        <f>IF(_Ov_Ophthalmology!D19&lt;&gt;"",_Ov_Ophthalmology!D19,SUM(Bend!D19))</f>
        <v>4</v>
      </c>
      <c r="E19" s="83">
        <f t="shared" si="1"/>
        <v>1</v>
      </c>
      <c r="F19" s="84">
        <f>IF(_Ov_Ophthalmology!F19&lt;&gt;"",_Ov_Ophthalmology!F19,SUM(Bend!F19))</f>
        <v>1</v>
      </c>
      <c r="G19" s="85">
        <f>IF(_Ov_Ophthalmology!G19&lt;&gt;"",_Ov_Ophthalmology!G19,SUM(Bend!G19))</f>
        <v>1</v>
      </c>
      <c r="H19" s="157">
        <f t="shared" si="2"/>
        <v>1</v>
      </c>
      <c r="I19" s="154">
        <f>IF(_Ov_Ophthalmology!I19&lt;&gt;"",_Ov_Ophthalmology!I19,SUM(Bend!I19))</f>
        <v>0</v>
      </c>
      <c r="J19" s="154">
        <f>IF(_Ov_Ophthalmology!J19&lt;&gt;"",_Ov_Ophthalmology!J19,SUM(Bend!J19))</f>
        <v>0</v>
      </c>
      <c r="K19" s="154" t="str">
        <f>IF(_Ov_Ophthalmology!K19&lt;&gt;"",_Ov_Ophthalmology!K19,IFERROR(Bend!BA19/Bend!AZ19,""))</f>
        <v/>
      </c>
      <c r="L19" s="91">
        <f>IF(_Ov_Ophthalmology!L19&lt;&gt;"",_Ov_Ophthalmology!L19,SUM(Bend!L19))</f>
        <v>0</v>
      </c>
      <c r="M19" s="89">
        <f>IF(_Ov_Ophthalmology!M19&lt;&gt;"",_Ov_Ophthalmology!M19,SUM(Bend!M19))</f>
        <v>0</v>
      </c>
      <c r="N19" s="89">
        <f>IF(_Ov_Ophthalmology!N19&lt;&gt;"",_Ov_Ophthalmology!N19,SUM(Bend!N19))</f>
        <v>0</v>
      </c>
      <c r="O19" s="91">
        <f>IF(_Ov_Ophthalmology!O19&lt;&gt;"",_Ov_Ophthalmology!O19,SUM(Bend!O19))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3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25">
      <c r="A20" s="20"/>
      <c r="B20" s="62">
        <f>EDATE(DATE(_Setup!$B$4,10,1),ROW()-ROW($B$11))</f>
        <v>46204</v>
      </c>
      <c r="C20" s="81">
        <f>IF(_Ov_Ophthalmology!C20&lt;&gt;"",_Ov_Ophthalmology!C20,SUM(Bend!C20))</f>
        <v>6</v>
      </c>
      <c r="D20" s="82">
        <f>IF(_Ov_Ophthalmology!D20&lt;&gt;"",_Ov_Ophthalmology!D20,SUM(Bend!D20))</f>
        <v>6</v>
      </c>
      <c r="E20" s="83">
        <f t="shared" si="1"/>
        <v>1</v>
      </c>
      <c r="F20" s="84">
        <f>IF(_Ov_Ophthalmology!F20&lt;&gt;"",_Ov_Ophthalmology!F20,SUM(Bend!F20))</f>
        <v>1</v>
      </c>
      <c r="G20" s="85">
        <f>IF(_Ov_Ophthalmology!G20&lt;&gt;"",_Ov_Ophthalmology!G20,SUM(Bend!G20))</f>
        <v>1</v>
      </c>
      <c r="H20" s="157">
        <f t="shared" si="2"/>
        <v>1</v>
      </c>
      <c r="I20" s="154">
        <f>IF(_Ov_Ophthalmology!I20&lt;&gt;"",_Ov_Ophthalmology!I20,SUM(Bend!I20))</f>
        <v>0</v>
      </c>
      <c r="J20" s="154">
        <f>IF(_Ov_Ophthalmology!J20&lt;&gt;"",_Ov_Ophthalmology!J20,SUM(Bend!J20))</f>
        <v>0</v>
      </c>
      <c r="K20" s="154" t="str">
        <f>IF(_Ov_Ophthalmology!K20&lt;&gt;"",_Ov_Ophthalmology!K20,IFERROR(Bend!BA20/Bend!AZ20,""))</f>
        <v/>
      </c>
      <c r="L20" s="91">
        <f>IF(_Ov_Ophthalmology!L20&lt;&gt;"",_Ov_Ophthalmology!L20,SUM(Bend!L20))</f>
        <v>0</v>
      </c>
      <c r="M20" s="89">
        <f>IF(_Ov_Ophthalmology!M20&lt;&gt;"",_Ov_Ophthalmology!M20,SUM(Bend!M20))</f>
        <v>0</v>
      </c>
      <c r="N20" s="89">
        <f>IF(_Ov_Ophthalmology!N20&lt;&gt;"",_Ov_Ophthalmology!N20,SUM(Bend!N20))</f>
        <v>0</v>
      </c>
      <c r="O20" s="91">
        <f>IF(_Ov_Ophthalmology!O20&lt;&gt;"",_Ov_Ophthalmology!O20,SUM(Bend!O20))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25">
      <c r="A21" s="20"/>
      <c r="B21" s="62">
        <f>EDATE(DATE(_Setup!$B$4,10,1),ROW()-ROW($B$11))</f>
        <v>46235</v>
      </c>
      <c r="C21" s="81">
        <f>IF(_Ov_Ophthalmology!C21&lt;&gt;"",_Ov_Ophthalmology!C21,SUM(Bend!C21))</f>
        <v>0</v>
      </c>
      <c r="D21" s="82">
        <f>IF(_Ov_Ophthalmology!D21&lt;&gt;"",_Ov_Ophthalmology!D21,SUM(Bend!D21))</f>
        <v>0</v>
      </c>
      <c r="E21" s="83" t="str">
        <f t="shared" si="1"/>
        <v/>
      </c>
      <c r="F21" s="84">
        <f>IF(_Ov_Ophthalmology!F21&lt;&gt;"",_Ov_Ophthalmology!F21,SUM(Bend!F21))</f>
        <v>0</v>
      </c>
      <c r="G21" s="85">
        <f>IF(_Ov_Ophthalmology!G21&lt;&gt;"",_Ov_Ophthalmology!G21,SUM(Bend!G21))</f>
        <v>0</v>
      </c>
      <c r="H21" s="157" t="str">
        <f t="shared" si="2"/>
        <v/>
      </c>
      <c r="I21" s="154">
        <f>IF(_Ov_Ophthalmology!I21&lt;&gt;"",_Ov_Ophthalmology!I21,SUM(Bend!I21))</f>
        <v>0</v>
      </c>
      <c r="J21" s="154">
        <f>IF(_Ov_Ophthalmology!J21&lt;&gt;"",_Ov_Ophthalmology!J21,SUM(Bend!J21))</f>
        <v>0</v>
      </c>
      <c r="K21" s="154" t="str">
        <f>IF(_Ov_Ophthalmology!K21&lt;&gt;"",_Ov_Ophthalmology!K21,IFERROR(Bend!BA21/Bend!AZ21,""))</f>
        <v/>
      </c>
      <c r="L21" s="91">
        <f>IF(_Ov_Ophthalmology!L21&lt;&gt;"",_Ov_Ophthalmology!L21,SUM(Bend!L21))</f>
        <v>0</v>
      </c>
      <c r="M21" s="89">
        <f>IF(_Ov_Ophthalmology!M21&lt;&gt;"",_Ov_Ophthalmology!M21,SUM(Bend!M21))</f>
        <v>0</v>
      </c>
      <c r="N21" s="89">
        <f>IF(_Ov_Ophthalmology!N21&lt;&gt;"",_Ov_Ophthalmology!N21,SUM(Bend!N21))</f>
        <v>0</v>
      </c>
      <c r="O21" s="91">
        <f>IF(_Ov_Ophthalmology!O21&lt;&gt;"",_Ov_Ophthalmology!O21,SUM(Bend!O21))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25">
      <c r="A22" s="20"/>
      <c r="B22" s="62">
        <f>EDATE(DATE(_Setup!$B$4,10,1),ROW()-ROW($B$11))</f>
        <v>46266</v>
      </c>
      <c r="C22" s="100">
        <f>IF(_Ov_Ophthalmology!C22&lt;&gt;"",_Ov_Ophthalmology!C22,SUM(Bend!C22))</f>
        <v>0</v>
      </c>
      <c r="D22" s="101">
        <f>IF(_Ov_Ophthalmology!D22&lt;&gt;"",_Ov_Ophthalmology!D22,SUM(Bend!D22))</f>
        <v>0</v>
      </c>
      <c r="E22" s="102" t="str">
        <f t="shared" si="1"/>
        <v/>
      </c>
      <c r="F22" s="103">
        <f>IF(_Ov_Ophthalmology!F22&lt;&gt;"",_Ov_Ophthalmology!F22,SUM(Bend!F22))</f>
        <v>0</v>
      </c>
      <c r="G22" s="104">
        <f>IF(_Ov_Ophthalmology!G22&lt;&gt;"",_Ov_Ophthalmology!G22,SUM(Bend!G22))</f>
        <v>0</v>
      </c>
      <c r="H22" s="161" t="str">
        <f t="shared" si="2"/>
        <v/>
      </c>
      <c r="I22" s="162">
        <f>IF(_Ov_Ophthalmology!I22&lt;&gt;"",_Ov_Ophthalmology!I22,SUM(Bend!I22))</f>
        <v>0</v>
      </c>
      <c r="J22" s="162">
        <f>IF(_Ov_Ophthalmology!J22&lt;&gt;"",_Ov_Ophthalmology!J22,SUM(Bend!J22))</f>
        <v>0</v>
      </c>
      <c r="K22" s="162" t="str">
        <f>IF(_Ov_Ophthalmology!K22&lt;&gt;"",_Ov_Ophthalmology!K22,IFERROR(Bend!BA22/Bend!AZ22,""))</f>
        <v/>
      </c>
      <c r="L22" s="110">
        <f>IF(_Ov_Ophthalmology!L22&lt;&gt;"",_Ov_Ophthalmology!L22,SUM(Bend!L22))</f>
        <v>0</v>
      </c>
      <c r="M22" s="108">
        <f>IF(_Ov_Ophthalmology!M22&lt;&gt;"",_Ov_Ophthalmology!M22,SUM(Bend!M22))</f>
        <v>0</v>
      </c>
      <c r="N22" s="108">
        <f>IF(_Ov_Ophthalmology!N22&lt;&gt;"",_Ov_Ophthalmology!N22,SUM(Bend!N22))</f>
        <v>0</v>
      </c>
      <c r="O22" s="110">
        <f>IF(_Ov_Ophthalmology!O22&lt;&gt;"",_Ov_Ophthalmology!O22,SUM(Bend!O22))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25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25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25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25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25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25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25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25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25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25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25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25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25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25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25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25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25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25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25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25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25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25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25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25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25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25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25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25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25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25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25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25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25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25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25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25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25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25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25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25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25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25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25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25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25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25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U84"/>
  <sheetViews>
    <sheetView workbookViewId="0"/>
  </sheetViews>
  <sheetFormatPr defaultRowHeight="15" x14ac:dyDescent="0.25"/>
  <cols>
    <col min="49" max="49" width="11.28515625" customWidth="1"/>
  </cols>
  <sheetData>
    <row r="1" spans="1:47" ht="15" customHeight="1" x14ac:dyDescent="0.25">
      <c r="A1" s="1" t="s">
        <v>155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25">
      <c r="A2" s="1"/>
      <c r="B2" s="3"/>
      <c r="C2" s="277" t="s">
        <v>0</v>
      </c>
      <c r="D2" s="253"/>
      <c r="E2" s="253"/>
      <c r="F2" s="253"/>
      <c r="G2" s="279" t="s">
        <v>1</v>
      </c>
      <c r="H2" s="253"/>
      <c r="I2" s="253"/>
      <c r="J2" s="253"/>
      <c r="K2" s="280" t="s">
        <v>2</v>
      </c>
      <c r="L2" s="253"/>
      <c r="M2" s="253"/>
      <c r="N2" s="281" t="s">
        <v>3</v>
      </c>
      <c r="O2" s="253"/>
      <c r="P2" s="278" t="s">
        <v>43</v>
      </c>
      <c r="Q2" s="253"/>
      <c r="R2" s="253"/>
      <c r="S2" s="282" t="s">
        <v>44</v>
      </c>
      <c r="T2" s="253"/>
      <c r="U2" s="253"/>
      <c r="V2" s="275" t="s">
        <v>45</v>
      </c>
      <c r="W2" s="253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25">
      <c r="A3" s="1"/>
      <c r="B3" s="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25">
      <c r="A4" s="1"/>
      <c r="B4" s="3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25">
      <c r="A5" s="1"/>
      <c r="B5" s="6" t="s">
        <v>11</v>
      </c>
      <c r="C5" s="7"/>
      <c r="D5" s="8"/>
      <c r="E5" s="9">
        <f>SUM(E11:E22)</f>
        <v>6.5459907683964289</v>
      </c>
      <c r="F5" s="10">
        <f>SUM(F11:F22)</f>
        <v>10</v>
      </c>
      <c r="G5" s="11">
        <f>SUM(G11:G22)</f>
        <v>8</v>
      </c>
      <c r="H5" s="12"/>
      <c r="I5" s="9">
        <f>SUM(I11:I22)</f>
        <v>7</v>
      </c>
      <c r="J5" s="13">
        <f>SUM(J11:J22)</f>
        <v>32</v>
      </c>
      <c r="K5" s="14"/>
      <c r="L5" s="9">
        <f t="shared" ref="L5:Q5" si="0">SUM(L11:L22)</f>
        <v>572</v>
      </c>
      <c r="M5" s="10">
        <f t="shared" si="0"/>
        <v>7.350264588104749</v>
      </c>
      <c r="N5" s="15">
        <f t="shared" si="0"/>
        <v>2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25">
      <c r="A6" s="1"/>
      <c r="B6" s="6" t="s">
        <v>13</v>
      </c>
      <c r="C6" s="21" t="s">
        <v>47</v>
      </c>
      <c r="D6" s="22" t="s">
        <v>47</v>
      </c>
      <c r="E6" s="23">
        <f>AVERAGE(E11:E22)</f>
        <v>0.65459907683964291</v>
      </c>
      <c r="F6" s="24">
        <f>AVERAGE(F11:F22)</f>
        <v>0.83333333333333337</v>
      </c>
      <c r="G6" s="25">
        <f>AVERAGE(G11:G22)</f>
        <v>0.66666666666666663</v>
      </c>
      <c r="H6" s="26" t="s">
        <v>47</v>
      </c>
      <c r="I6" s="27">
        <f>AVERAGE(I11:I22)</f>
        <v>0.58333333333333337</v>
      </c>
      <c r="J6" s="28">
        <f>AVERAGE(J11:J22)</f>
        <v>2.6666666666666665</v>
      </c>
      <c r="K6" s="29" t="s">
        <v>47</v>
      </c>
      <c r="L6" s="30">
        <f t="shared" ref="L6:Q6" si="1">AVERAGE(L11:L22)</f>
        <v>47.666666666666664</v>
      </c>
      <c r="M6" s="31">
        <f t="shared" si="1"/>
        <v>0.61252204900872909</v>
      </c>
      <c r="N6" s="29">
        <f t="shared" si="1"/>
        <v>0.16666666666666666</v>
      </c>
      <c r="O6" s="28">
        <f t="shared" si="1"/>
        <v>0</v>
      </c>
      <c r="P6" s="32">
        <f t="shared" si="1"/>
        <v>4.25</v>
      </c>
      <c r="Q6" s="33">
        <f t="shared" si="1"/>
        <v>11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25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25">
      <c r="A8" s="1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7" t="s">
        <v>23</v>
      </c>
      <c r="L8" s="263" t="s">
        <v>24</v>
      </c>
      <c r="M8" s="271" t="s">
        <v>25</v>
      </c>
      <c r="N8" s="264" t="s">
        <v>48</v>
      </c>
      <c r="O8" s="273" t="s">
        <v>49</v>
      </c>
      <c r="P8" s="274" t="s">
        <v>18</v>
      </c>
      <c r="Q8" s="274" t="s">
        <v>50</v>
      </c>
      <c r="R8" s="274" t="s">
        <v>51</v>
      </c>
      <c r="S8" s="272" t="s">
        <v>52</v>
      </c>
      <c r="T8" s="272" t="s">
        <v>53</v>
      </c>
      <c r="U8" s="272" t="s">
        <v>54</v>
      </c>
      <c r="V8" s="276" t="s">
        <v>55</v>
      </c>
      <c r="W8" s="27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25">
      <c r="A9" s="1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25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3"/>
      <c r="T10" s="253"/>
      <c r="U10" s="253"/>
      <c r="V10" s="253"/>
      <c r="W10" s="253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25">
      <c r="A11" s="1"/>
      <c r="B11" s="62">
        <f>EDATE(DATE(_Setup!$B$4,10,1),ROW()-ROW($B$11))</f>
        <v>45931</v>
      </c>
      <c r="C11" s="63">
        <f>IF(_Ov_Optometry!C11&lt;&gt;"",_Ov_Optometry!C11,SUM(_Sys_Bend_Optom!C11))</f>
        <v>53</v>
      </c>
      <c r="D11" s="64">
        <f>IF(_Ov_Optometry!D11&lt;&gt;"",_Ov_Optometry!D11,SUM(_Sys_Bend_Optom!D11))</f>
        <v>15</v>
      </c>
      <c r="E11" s="65">
        <f t="shared" ref="E11:E22" si="2">IFERROR(D11/C11,"")</f>
        <v>0.28301886792452829</v>
      </c>
      <c r="F11" s="66">
        <f>IF(_Ov_Optometry!F11&lt;&gt;"",_Ov_Optometry!F11,SUM(_Sys_Bend_Optom!F11))</f>
        <v>2</v>
      </c>
      <c r="G11" s="67">
        <f>IF(_Ov_Optometry!G11&lt;&gt;"",_Ov_Optometry!G11,SUM(_Sys_Bend_Optom!G11))</f>
        <v>2</v>
      </c>
      <c r="H11" s="68">
        <f t="shared" ref="H11:H22" si="3">IFERROR(G11/F11,"")</f>
        <v>1</v>
      </c>
      <c r="I11" s="69">
        <f>IF(_Ov_Optometry!I11&lt;&gt;"",_Ov_Optometry!I11,SUM(_Sys_Bend_Optom!I11))</f>
        <v>0</v>
      </c>
      <c r="J11" s="70">
        <f>IF(_Ov_Optometry!J11&lt;&gt;"",_Ov_Optometry!J11,SUM(_Sys_Bend_Optom!J11))</f>
        <v>0</v>
      </c>
      <c r="K11" s="71" t="str">
        <f>IF(_Ov_Optometry!K11&lt;&gt;"",_Ov_Optometry!K11,IFERROR(Bend!BA11/Bend!AZ11,""))</f>
        <v/>
      </c>
      <c r="L11" s="72">
        <f>IF(_Ov_Optometry!L11&lt;&gt;"",_Ov_Optometry!L11,SUM(Bend!L11))</f>
        <v>52</v>
      </c>
      <c r="M11" s="73">
        <f>IF(_Ov_Optometry!M11&lt;&gt;"",_Ov_Optometry!M11,SUM(Bend!M11))</f>
        <v>0.94545454545454544</v>
      </c>
      <c r="N11" s="71">
        <f>IF(_Ov_Optometry!N11&lt;&gt;"",_Ov_Optometry!N11,SUM(Bend!N11))</f>
        <v>0</v>
      </c>
      <c r="O11" s="73">
        <f>IF(_Ov_Optometry!O11&lt;&gt;"",_Ov_Optometry!O11,SUM(Bend!O11))</f>
        <v>0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4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25">
      <c r="A12" s="1"/>
      <c r="B12" s="62">
        <f>EDATE(DATE(_Setup!$B$4,10,1),ROW()-ROW($B$11))</f>
        <v>45962</v>
      </c>
      <c r="C12" s="81">
        <f>IF(_Ov_Optometry!C12&lt;&gt;"",_Ov_Optometry!C12,SUM(_Sys_Bend_Optom!C12))</f>
        <v>28</v>
      </c>
      <c r="D12" s="82">
        <f>IF(_Ov_Optometry!D12&lt;&gt;"",_Ov_Optometry!D12,SUM(_Sys_Bend_Optom!D12))</f>
        <v>9</v>
      </c>
      <c r="E12" s="83">
        <f t="shared" si="2"/>
        <v>0.32142857142857145</v>
      </c>
      <c r="F12" s="84">
        <f>IF(_Ov_Optometry!F12&lt;&gt;"",_Ov_Optometry!F12,SUM(_Sys_Bend_Optom!F12))</f>
        <v>0</v>
      </c>
      <c r="G12" s="85">
        <f>IF(_Ov_Optometry!G12&lt;&gt;"",_Ov_Optometry!G12,SUM(_Sys_Bend_Optom!G12))</f>
        <v>0</v>
      </c>
      <c r="H12" s="86" t="str">
        <f t="shared" si="3"/>
        <v/>
      </c>
      <c r="I12" s="87">
        <f>IF(_Ov_Optometry!I12&lt;&gt;"",_Ov_Optometry!I12,SUM(_Sys_Bend_Optom!I12))</f>
        <v>1</v>
      </c>
      <c r="J12" s="88">
        <f>IF(_Ov_Optometry!J12&lt;&gt;"",_Ov_Optometry!J12,SUM(_Sys_Bend_Optom!J12))</f>
        <v>12</v>
      </c>
      <c r="K12" s="89" t="str">
        <f>IF(_Ov_Optometry!K12&lt;&gt;"",_Ov_Optometry!K12,IFERROR(Bend!BA12/Bend!AZ12,""))</f>
        <v/>
      </c>
      <c r="L12" s="90">
        <f>IF(_Ov_Optometry!L12&lt;&gt;"",_Ov_Optometry!L12,SUM(Bend!L12))</f>
        <v>43</v>
      </c>
      <c r="M12" s="91">
        <f>IF(_Ov_Optometry!M12&lt;&gt;"",_Ov_Optometry!M12,SUM(Bend!M12))</f>
        <v>0.87755102040816324</v>
      </c>
      <c r="N12" s="89">
        <f>IF(_Ov_Optometry!N12&lt;&gt;"",_Ov_Optometry!N12,SUM(Bend!N12))</f>
        <v>0</v>
      </c>
      <c r="O12" s="91">
        <f>IF(_Ov_Optometry!O12&lt;&gt;"",_Ov_Optometry!O12,SUM(Bend!O12))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4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25">
      <c r="A13" s="1"/>
      <c r="B13" s="62">
        <f>EDATE(DATE(_Setup!$B$4,10,1),ROW()-ROW($B$11))</f>
        <v>45992</v>
      </c>
      <c r="C13" s="81">
        <f>IF(_Ov_Optometry!C13&lt;&gt;"",_Ov_Optometry!C13,SUM(_Sys_Bend_Optom!C13))</f>
        <v>37</v>
      </c>
      <c r="D13" s="82">
        <f>IF(_Ov_Optometry!D13&lt;&gt;"",_Ov_Optometry!D13,SUM(_Sys_Bend_Optom!D13))</f>
        <v>11</v>
      </c>
      <c r="E13" s="83">
        <f t="shared" si="2"/>
        <v>0.29729729729729731</v>
      </c>
      <c r="F13" s="84">
        <f>IF(_Ov_Optometry!F13&lt;&gt;"",_Ov_Optometry!F13,SUM(_Sys_Bend_Optom!F13))</f>
        <v>3</v>
      </c>
      <c r="G13" s="85">
        <f>IF(_Ov_Optometry!G13&lt;&gt;"",_Ov_Optometry!G13,SUM(_Sys_Bend_Optom!G13))</f>
        <v>3</v>
      </c>
      <c r="H13" s="86">
        <f t="shared" si="3"/>
        <v>1</v>
      </c>
      <c r="I13" s="87">
        <f>IF(_Ov_Optometry!I13&lt;&gt;"",_Ov_Optometry!I13,SUM(_Sys_Bend_Optom!I13))</f>
        <v>1</v>
      </c>
      <c r="J13" s="88">
        <f>IF(_Ov_Optometry!J13&lt;&gt;"",_Ov_Optometry!J13,SUM(_Sys_Bend_Optom!J13))</f>
        <v>2</v>
      </c>
      <c r="K13" s="89" t="str">
        <f>IF(_Ov_Optometry!K13&lt;&gt;"",_Ov_Optometry!K13,IFERROR(Bend!BA13/Bend!AZ13,""))</f>
        <v/>
      </c>
      <c r="L13" s="90">
        <f>IF(_Ov_Optometry!L13&lt;&gt;"",_Ov_Optometry!L13,SUM(Bend!L13))</f>
        <v>75</v>
      </c>
      <c r="M13" s="91">
        <f>IF(_Ov_Optometry!M13&lt;&gt;"",_Ov_Optometry!M13,SUM(Bend!M13))</f>
        <v>0.90361445783132532</v>
      </c>
      <c r="N13" s="89">
        <f>IF(_Ov_Optometry!N13&lt;&gt;"",_Ov_Optometry!N13,SUM(Bend!N13))</f>
        <v>0</v>
      </c>
      <c r="O13" s="91">
        <f>IF(_Ov_Optometry!O13&lt;&gt;"",_Ov_Optometry!O13,SUM(Bend!O13))</f>
        <v>0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4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25">
      <c r="A14" s="1"/>
      <c r="B14" s="62">
        <f>EDATE(DATE(_Setup!$B$4,10,1),ROW()-ROW($B$11))</f>
        <v>46023</v>
      </c>
      <c r="C14" s="81">
        <f>IF(_Ov_Optometry!C14&lt;&gt;"",_Ov_Optometry!C14,SUM(_Sys_Bend_Optom!C14))</f>
        <v>48</v>
      </c>
      <c r="D14" s="82">
        <f>IF(_Ov_Optometry!D14&lt;&gt;"",_Ov_Optometry!D14,SUM(_Sys_Bend_Optom!D14))</f>
        <v>11</v>
      </c>
      <c r="E14" s="83">
        <f t="shared" si="2"/>
        <v>0.22916666666666666</v>
      </c>
      <c r="F14" s="84">
        <f>IF(_Ov_Optometry!F14&lt;&gt;"",_Ov_Optometry!F14,SUM(_Sys_Bend_Optom!F14))</f>
        <v>1</v>
      </c>
      <c r="G14" s="85">
        <f>IF(_Ov_Optometry!G14&lt;&gt;"",_Ov_Optometry!G14,SUM(_Sys_Bend_Optom!G14))</f>
        <v>1</v>
      </c>
      <c r="H14" s="86">
        <f t="shared" si="3"/>
        <v>1</v>
      </c>
      <c r="I14" s="87">
        <f>IF(_Ov_Optometry!I14&lt;&gt;"",_Ov_Optometry!I14,SUM(_Sys_Bend_Optom!I14))</f>
        <v>2</v>
      </c>
      <c r="J14" s="88">
        <f>IF(_Ov_Optometry!J14&lt;&gt;"",_Ov_Optometry!J14,SUM(_Sys_Bend_Optom!J14))</f>
        <v>2</v>
      </c>
      <c r="K14" s="89" t="str">
        <f>IF(_Ov_Optometry!K14&lt;&gt;"",_Ov_Optometry!K14,IFERROR(Bend!BA14/Bend!AZ14,""))</f>
        <v/>
      </c>
      <c r="L14" s="90">
        <f>IF(_Ov_Optometry!L14&lt;&gt;"",_Ov_Optometry!L14,SUM(Bend!L14))</f>
        <v>63</v>
      </c>
      <c r="M14" s="91">
        <f>IF(_Ov_Optometry!M14&lt;&gt;"",_Ov_Optometry!M14,SUM(Bend!M14))</f>
        <v>0.91304347826086951</v>
      </c>
      <c r="N14" s="89">
        <f>IF(_Ov_Optometry!N14&lt;&gt;"",_Ov_Optometry!N14,SUM(Bend!N14))</f>
        <v>1</v>
      </c>
      <c r="O14" s="91">
        <f>IF(_Ov_Optometry!O14&lt;&gt;"",_Ov_Optometry!O14,SUM(Bend!O14))</f>
        <v>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4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25">
      <c r="A15" s="1"/>
      <c r="B15" s="62">
        <f>EDATE(DATE(_Setup!$B$4,10,1),ROW()-ROW($B$11))</f>
        <v>46054</v>
      </c>
      <c r="C15" s="81">
        <f>IF(_Ov_Optometry!C15&lt;&gt;"",_Ov_Optometry!C15,SUM(_Sys_Bend_Optom!C15))</f>
        <v>35</v>
      </c>
      <c r="D15" s="82">
        <f>IF(_Ov_Optometry!D15&lt;&gt;"",_Ov_Optometry!D15,SUM(_Sys_Bend_Optom!D15))</f>
        <v>18</v>
      </c>
      <c r="E15" s="83">
        <f t="shared" si="2"/>
        <v>0.51428571428571423</v>
      </c>
      <c r="F15" s="84">
        <f>IF(_Ov_Optometry!F15&lt;&gt;"",_Ov_Optometry!F15,SUM(_Sys_Bend_Optom!F15))</f>
        <v>4</v>
      </c>
      <c r="G15" s="85">
        <f>IF(_Ov_Optometry!G15&lt;&gt;"",_Ov_Optometry!G15,SUM(_Sys_Bend_Optom!G15))</f>
        <v>2</v>
      </c>
      <c r="H15" s="86">
        <f t="shared" si="3"/>
        <v>0.5</v>
      </c>
      <c r="I15" s="87">
        <f>IF(_Ov_Optometry!I15&lt;&gt;"",_Ov_Optometry!I15,SUM(_Sys_Bend_Optom!I15))</f>
        <v>1</v>
      </c>
      <c r="J15" s="88">
        <f>IF(_Ov_Optometry!J15&lt;&gt;"",_Ov_Optometry!J15,SUM(_Sys_Bend_Optom!J15))</f>
        <v>2</v>
      </c>
      <c r="K15" s="89" t="str">
        <f>IF(_Ov_Optometry!K15&lt;&gt;"",_Ov_Optometry!K15,IFERROR(Bend!BA15/Bend!AZ15,""))</f>
        <v/>
      </c>
      <c r="L15" s="90">
        <f>IF(_Ov_Optometry!L15&lt;&gt;"",_Ov_Optometry!L15,SUM(Bend!L15))</f>
        <v>87</v>
      </c>
      <c r="M15" s="91">
        <f>IF(_Ov_Optometry!M15&lt;&gt;"",_Ov_Optometry!M15,SUM(Bend!M15))</f>
        <v>0.92553191489361697</v>
      </c>
      <c r="N15" s="89">
        <f>IF(_Ov_Optometry!N15&lt;&gt;"",_Ov_Optometry!N15,SUM(Bend!N15))</f>
        <v>0</v>
      </c>
      <c r="O15" s="91">
        <f>IF(_Ov_Optometry!O15&lt;&gt;"",_Ov_Optometry!O15,SUM(Bend!O15))</f>
        <v>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4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25">
      <c r="A16" s="1"/>
      <c r="B16" s="62">
        <f>EDATE(DATE(_Setup!$B$4,10,1),ROW()-ROW($B$11))</f>
        <v>46082</v>
      </c>
      <c r="C16" s="81">
        <f>IF(_Ov_Optometry!C16&lt;&gt;"",_Ov_Optometry!C16,SUM(_Sys_Bend_Optom!C16))</f>
        <v>36</v>
      </c>
      <c r="D16" s="82">
        <f>IF(_Ov_Optometry!D16&lt;&gt;"",_Ov_Optometry!D16,SUM(_Sys_Bend_Optom!D16))</f>
        <v>35</v>
      </c>
      <c r="E16" s="83">
        <f t="shared" si="2"/>
        <v>0.97222222222222221</v>
      </c>
      <c r="F16" s="84">
        <f>IF(_Ov_Optometry!F16&lt;&gt;"",_Ov_Optometry!F16,SUM(_Sys_Bend_Optom!F16))</f>
        <v>0</v>
      </c>
      <c r="G16" s="85">
        <f>IF(_Ov_Optometry!G16&lt;&gt;"",_Ov_Optometry!G16,SUM(_Sys_Bend_Optom!G16))</f>
        <v>0</v>
      </c>
      <c r="H16" s="86" t="str">
        <f t="shared" si="3"/>
        <v/>
      </c>
      <c r="I16" s="87">
        <f>IF(_Ov_Optometry!I16&lt;&gt;"",_Ov_Optometry!I16,SUM(_Sys_Bend_Optom!I16))</f>
        <v>2</v>
      </c>
      <c r="J16" s="88">
        <f>IF(_Ov_Optometry!J16&lt;&gt;"",_Ov_Optometry!J16,SUM(_Sys_Bend_Optom!J16))</f>
        <v>14</v>
      </c>
      <c r="K16" s="89" t="str">
        <f>IF(_Ov_Optometry!K16&lt;&gt;"",_Ov_Optometry!K16,IFERROR(Bend!BA16/Bend!AZ16,""))</f>
        <v/>
      </c>
      <c r="L16" s="90">
        <f>IF(_Ov_Optometry!L16&lt;&gt;"",_Ov_Optometry!L16,SUM(Bend!L16))</f>
        <v>89</v>
      </c>
      <c r="M16" s="91">
        <f>IF(_Ov_Optometry!M16&lt;&gt;"",_Ov_Optometry!M16,SUM(Bend!M16))</f>
        <v>0.92708333333333337</v>
      </c>
      <c r="N16" s="89">
        <f>IF(_Ov_Optometry!N16&lt;&gt;"",_Ov_Optometry!N16,SUM(Bend!N16))</f>
        <v>1</v>
      </c>
      <c r="O16" s="91">
        <f>IF(_Ov_Optometry!O16&lt;&gt;"",_Ov_Optometry!O16,SUM(Bend!O16))</f>
        <v>0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4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25">
      <c r="A17" s="1"/>
      <c r="B17" s="62">
        <f>EDATE(DATE(_Setup!$B$4,10,1),ROW()-ROW($B$11))</f>
        <v>46113</v>
      </c>
      <c r="C17" s="81">
        <f>IF(_Ov_Optometry!C17&lt;&gt;"",_Ov_Optometry!C17,SUM(_Sys_Bend_Optom!C17))</f>
        <v>54</v>
      </c>
      <c r="D17" s="82">
        <f>IF(_Ov_Optometry!D17&lt;&gt;"",_Ov_Optometry!D17,SUM(_Sys_Bend_Optom!D17))</f>
        <v>54</v>
      </c>
      <c r="E17" s="83">
        <f t="shared" si="2"/>
        <v>1</v>
      </c>
      <c r="F17" s="84">
        <f>IF(_Ov_Optometry!F17&lt;&gt;"",_Ov_Optometry!F17,SUM(_Sys_Bend_Optom!F17))</f>
        <v>0</v>
      </c>
      <c r="G17" s="85">
        <f>IF(_Ov_Optometry!G17&lt;&gt;"",_Ov_Optometry!G17,SUM(_Sys_Bend_Optom!G17))</f>
        <v>0</v>
      </c>
      <c r="H17" s="86" t="str">
        <f t="shared" si="3"/>
        <v/>
      </c>
      <c r="I17" s="87">
        <f>IF(_Ov_Optometry!I17&lt;&gt;"",_Ov_Optometry!I17,SUM(_Sys_Bend_Optom!I17))</f>
        <v>0</v>
      </c>
      <c r="J17" s="88">
        <f>IF(_Ov_Optometry!J17&lt;&gt;"",_Ov_Optometry!J17,SUM(_Sys_Bend_Optom!J17))</f>
        <v>0</v>
      </c>
      <c r="K17" s="89" t="str">
        <f>IF(_Ov_Optometry!K17&lt;&gt;"",_Ov_Optometry!K17,IFERROR(Bend!BA17/Bend!AZ17,""))</f>
        <v/>
      </c>
      <c r="L17" s="90">
        <f>IF(_Ov_Optometry!L17&lt;&gt;"",_Ov_Optometry!L17,SUM(Bend!L17))</f>
        <v>90</v>
      </c>
      <c r="M17" s="91">
        <f>IF(_Ov_Optometry!M17&lt;&gt;"",_Ov_Optometry!M17,SUM(Bend!M17))</f>
        <v>0.967741935483871</v>
      </c>
      <c r="N17" s="89">
        <f>IF(_Ov_Optometry!N17&lt;&gt;"",_Ov_Optometry!N17,SUM(Bend!N17))</f>
        <v>0</v>
      </c>
      <c r="O17" s="91">
        <f>IF(_Ov_Optometry!O17&lt;&gt;"",_Ov_Optometry!O17,SUM(Bend!O17))</f>
        <v>0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4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25">
      <c r="A18" s="1"/>
      <c r="B18" s="62">
        <f>EDATE(DATE(_Setup!$B$4,10,1),ROW()-ROW($B$11))</f>
        <v>46143</v>
      </c>
      <c r="C18" s="81">
        <f>IF(_Ov_Optometry!C18&lt;&gt;"",_Ov_Optometry!C18,SUM(_Sys_Bend_Optom!C18))</f>
        <v>31</v>
      </c>
      <c r="D18" s="82">
        <f>IF(_Ov_Optometry!D18&lt;&gt;"",_Ov_Optometry!D18,SUM(_Sys_Bend_Optom!D18))</f>
        <v>31</v>
      </c>
      <c r="E18" s="83">
        <f t="shared" si="2"/>
        <v>1</v>
      </c>
      <c r="F18" s="84">
        <f>IF(_Ov_Optometry!F18&lt;&gt;"",_Ov_Optometry!F18,SUM(_Sys_Bend_Optom!F18))</f>
        <v>0</v>
      </c>
      <c r="G18" s="85">
        <f>IF(_Ov_Optometry!G18&lt;&gt;"",_Ov_Optometry!G18,SUM(_Sys_Bend_Optom!G18))</f>
        <v>0</v>
      </c>
      <c r="H18" s="86" t="str">
        <f t="shared" si="3"/>
        <v/>
      </c>
      <c r="I18" s="87">
        <f>IF(_Ov_Optometry!I18&lt;&gt;"",_Ov_Optometry!I18,SUM(_Sys_Bend_Optom!I18))</f>
        <v>0</v>
      </c>
      <c r="J18" s="88">
        <f>IF(_Ov_Optometry!J18&lt;&gt;"",_Ov_Optometry!J18,SUM(_Sys_Bend_Optom!J18))</f>
        <v>0</v>
      </c>
      <c r="K18" s="89" t="str">
        <f>IF(_Ov_Optometry!K18&lt;&gt;"",_Ov_Optometry!K18,IFERROR(Bend!BA18/Bend!AZ18,""))</f>
        <v/>
      </c>
      <c r="L18" s="90">
        <f>IF(_Ov_Optometry!L18&lt;&gt;"",_Ov_Optometry!L18,SUM(Bend!L18))</f>
        <v>73</v>
      </c>
      <c r="M18" s="91">
        <f>IF(_Ov_Optometry!M18&lt;&gt;"",_Ov_Optometry!M18,SUM(Bend!M18))</f>
        <v>0.8902439024390244</v>
      </c>
      <c r="N18" s="89">
        <f>IF(_Ov_Optometry!N18&lt;&gt;"",_Ov_Optometry!N18,SUM(Bend!N18))</f>
        <v>0</v>
      </c>
      <c r="O18" s="91">
        <f>IF(_Ov_Optometry!O18&lt;&gt;"",_Ov_Optometry!O18,SUM(Bend!O18))</f>
        <v>0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4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25">
      <c r="A19" s="1"/>
      <c r="B19" s="62">
        <f>EDATE(DATE(_Setup!$B$4,10,1),ROW()-ROW($B$11))</f>
        <v>46174</v>
      </c>
      <c r="C19" s="81">
        <f>IF(_Ov_Optometry!C19&lt;&gt;"",_Ov_Optometry!C19,SUM(_Sys_Bend_Optom!C19))</f>
        <v>28</v>
      </c>
      <c r="D19" s="82">
        <f>IF(_Ov_Optometry!D19&lt;&gt;"",_Ov_Optometry!D19,SUM(_Sys_Bend_Optom!D19))</f>
        <v>26</v>
      </c>
      <c r="E19" s="83">
        <f t="shared" si="2"/>
        <v>0.9285714285714286</v>
      </c>
      <c r="F19" s="84">
        <f>IF(_Ov_Optometry!F19&lt;&gt;"",_Ov_Optometry!F19,SUM(_Sys_Bend_Optom!F19))</f>
        <v>0</v>
      </c>
      <c r="G19" s="85">
        <f>IF(_Ov_Optometry!G19&lt;&gt;"",_Ov_Optometry!G19,SUM(_Sys_Bend_Optom!G19))</f>
        <v>0</v>
      </c>
      <c r="H19" s="86" t="str">
        <f t="shared" si="3"/>
        <v/>
      </c>
      <c r="I19" s="87">
        <f>IF(_Ov_Optometry!I19&lt;&gt;"",_Ov_Optometry!I19,SUM(_Sys_Bend_Optom!I19))</f>
        <v>0</v>
      </c>
      <c r="J19" s="88">
        <f>IF(_Ov_Optometry!J19&lt;&gt;"",_Ov_Optometry!J19,SUM(_Sys_Bend_Optom!J19))</f>
        <v>0</v>
      </c>
      <c r="K19" s="89" t="str">
        <f>IF(_Ov_Optometry!K19&lt;&gt;"",_Ov_Optometry!K19,IFERROR(Bend!BA19/Bend!AZ19,""))</f>
        <v/>
      </c>
      <c r="L19" s="90">
        <f>IF(_Ov_Optometry!L19&lt;&gt;"",_Ov_Optometry!L19,SUM(Bend!L19))</f>
        <v>0</v>
      </c>
      <c r="M19" s="91">
        <f>IF(_Ov_Optometry!M19&lt;&gt;"",_Ov_Optometry!M19,SUM(Bend!M19))</f>
        <v>0</v>
      </c>
      <c r="N19" s="89">
        <f>IF(_Ov_Optometry!N19&lt;&gt;"",_Ov_Optometry!N19,SUM(Bend!N19))</f>
        <v>0</v>
      </c>
      <c r="O19" s="91">
        <f>IF(_Ov_Optometry!O19&lt;&gt;"",_Ov_Optometry!O19,SUM(Bend!O19))</f>
        <v>0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4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25">
      <c r="A20" s="1"/>
      <c r="B20" s="62">
        <f>EDATE(DATE(_Setup!$B$4,10,1),ROW()-ROW($B$11))</f>
        <v>46204</v>
      </c>
      <c r="C20" s="81">
        <f>IF(_Ov_Optometry!C20&lt;&gt;"",_Ov_Optometry!C20,SUM(_Sys_Bend_Optom!C20))</f>
        <v>19</v>
      </c>
      <c r="D20" s="82">
        <f>IF(_Ov_Optometry!D20&lt;&gt;"",_Ov_Optometry!D20,SUM(_Sys_Bend_Optom!D20))</f>
        <v>19</v>
      </c>
      <c r="E20" s="83">
        <f t="shared" si="2"/>
        <v>1</v>
      </c>
      <c r="F20" s="84">
        <f>IF(_Ov_Optometry!F20&lt;&gt;"",_Ov_Optometry!F20,SUM(_Sys_Bend_Optom!F20))</f>
        <v>0</v>
      </c>
      <c r="G20" s="85">
        <f>IF(_Ov_Optometry!G20&lt;&gt;"",_Ov_Optometry!G20,SUM(_Sys_Bend_Optom!G20))</f>
        <v>0</v>
      </c>
      <c r="H20" s="86" t="str">
        <f t="shared" si="3"/>
        <v/>
      </c>
      <c r="I20" s="87">
        <f>IF(_Ov_Optometry!I20&lt;&gt;"",_Ov_Optometry!I20,SUM(_Sys_Bend_Optom!I20))</f>
        <v>0</v>
      </c>
      <c r="J20" s="88">
        <f>IF(_Ov_Optometry!J20&lt;&gt;"",_Ov_Optometry!J20,SUM(_Sys_Bend_Optom!J20))</f>
        <v>0</v>
      </c>
      <c r="K20" s="89" t="str">
        <f>IF(_Ov_Optometry!K20&lt;&gt;"",_Ov_Optometry!K20,IFERROR(Bend!BA20/Bend!AZ20,""))</f>
        <v/>
      </c>
      <c r="L20" s="90">
        <f>IF(_Ov_Optometry!L20&lt;&gt;"",_Ov_Optometry!L20,SUM(Bend!L20))</f>
        <v>0</v>
      </c>
      <c r="M20" s="91">
        <f>IF(_Ov_Optometry!M20&lt;&gt;"",_Ov_Optometry!M20,SUM(Bend!M20))</f>
        <v>0</v>
      </c>
      <c r="N20" s="89">
        <f>IF(_Ov_Optometry!N20&lt;&gt;"",_Ov_Optometry!N20,SUM(Bend!N20))</f>
        <v>0</v>
      </c>
      <c r="O20" s="91">
        <f>IF(_Ov_Optometry!O20&lt;&gt;"",_Ov_Optometry!O20,SUM(Bend!O20))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25">
      <c r="A21" s="1"/>
      <c r="B21" s="62">
        <f>EDATE(DATE(_Setup!$B$4,10,1),ROW()-ROW($B$11))</f>
        <v>46235</v>
      </c>
      <c r="C21" s="81">
        <f>IF(_Ov_Optometry!C21&lt;&gt;"",_Ov_Optometry!C21,SUM(_Sys_Bend_Optom!C21))</f>
        <v>0</v>
      </c>
      <c r="D21" s="82">
        <f>IF(_Ov_Optometry!D21&lt;&gt;"",_Ov_Optometry!D21,SUM(_Sys_Bend_Optom!D21))</f>
        <v>0</v>
      </c>
      <c r="E21" s="83" t="str">
        <f t="shared" si="2"/>
        <v/>
      </c>
      <c r="F21" s="84">
        <f>IF(_Ov_Optometry!F21&lt;&gt;"",_Ov_Optometry!F21,SUM(_Sys_Bend_Optom!F21))</f>
        <v>0</v>
      </c>
      <c r="G21" s="85">
        <f>IF(_Ov_Optometry!G21&lt;&gt;"",_Ov_Optometry!G21,SUM(_Sys_Bend_Optom!G21))</f>
        <v>0</v>
      </c>
      <c r="H21" s="86" t="str">
        <f t="shared" si="3"/>
        <v/>
      </c>
      <c r="I21" s="87">
        <f>IF(_Ov_Optometry!I21&lt;&gt;"",_Ov_Optometry!I21,SUM(_Sys_Bend_Optom!I21))</f>
        <v>0</v>
      </c>
      <c r="J21" s="88">
        <f>IF(_Ov_Optometry!J21&lt;&gt;"",_Ov_Optometry!J21,SUM(_Sys_Bend_Optom!J21))</f>
        <v>0</v>
      </c>
      <c r="K21" s="89" t="str">
        <f>IF(_Ov_Optometry!K21&lt;&gt;"",_Ov_Optometry!K21,IFERROR(Bend!BA21/Bend!AZ21,""))</f>
        <v/>
      </c>
      <c r="L21" s="90">
        <f>IF(_Ov_Optometry!L21&lt;&gt;"",_Ov_Optometry!L21,SUM(Bend!L21))</f>
        <v>0</v>
      </c>
      <c r="M21" s="91">
        <f>IF(_Ov_Optometry!M21&lt;&gt;"",_Ov_Optometry!M21,SUM(Bend!M21))</f>
        <v>0</v>
      </c>
      <c r="N21" s="89">
        <f>IF(_Ov_Optometry!N21&lt;&gt;"",_Ov_Optometry!N21,SUM(Bend!N21))</f>
        <v>0</v>
      </c>
      <c r="O21" s="91">
        <f>IF(_Ov_Optometry!O21&lt;&gt;"",_Ov_Optometry!O21,SUM(Bend!O21))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25">
      <c r="A22" s="1"/>
      <c r="B22" s="62">
        <f>EDATE(DATE(_Setup!$B$4,10,1),ROW()-ROW($B$11))</f>
        <v>46266</v>
      </c>
      <c r="C22" s="100">
        <f>IF(_Ov_Optometry!C22&lt;&gt;"",_Ov_Optometry!C22,SUM(_Sys_Bend_Optom!C22))</f>
        <v>0</v>
      </c>
      <c r="D22" s="101">
        <f>IF(_Ov_Optometry!D22&lt;&gt;"",_Ov_Optometry!D22,SUM(_Sys_Bend_Optom!D22))</f>
        <v>0</v>
      </c>
      <c r="E22" s="102" t="str">
        <f t="shared" si="2"/>
        <v/>
      </c>
      <c r="F22" s="103">
        <f>IF(_Ov_Optometry!F22&lt;&gt;"",_Ov_Optometry!F22,SUM(_Sys_Bend_Optom!F22))</f>
        <v>0</v>
      </c>
      <c r="G22" s="104">
        <f>IF(_Ov_Optometry!G22&lt;&gt;"",_Ov_Optometry!G22,SUM(_Sys_Bend_Optom!G22))</f>
        <v>0</v>
      </c>
      <c r="H22" s="105" t="str">
        <f t="shared" si="3"/>
        <v/>
      </c>
      <c r="I22" s="106">
        <f>IF(_Ov_Optometry!I22&lt;&gt;"",_Ov_Optometry!I22,SUM(_Sys_Bend_Optom!I22))</f>
        <v>0</v>
      </c>
      <c r="J22" s="107">
        <f>IF(_Ov_Optometry!J22&lt;&gt;"",_Ov_Optometry!J22,SUM(_Sys_Bend_Optom!J22))</f>
        <v>0</v>
      </c>
      <c r="K22" s="108" t="str">
        <f>IF(_Ov_Optometry!K22&lt;&gt;"",_Ov_Optometry!K22,IFERROR(Bend!BA22/Bend!AZ22,""))</f>
        <v/>
      </c>
      <c r="L22" s="109">
        <f>IF(_Ov_Optometry!L22&lt;&gt;"",_Ov_Optometry!L22,SUM(Bend!L22))</f>
        <v>0</v>
      </c>
      <c r="M22" s="110">
        <f>IF(_Ov_Optometry!M22&lt;&gt;"",_Ov_Optometry!M22,SUM(Bend!M22))</f>
        <v>0</v>
      </c>
      <c r="N22" s="108">
        <f>IF(_Ov_Optometry!N22&lt;&gt;"",_Ov_Optometry!N22,SUM(Bend!N22))</f>
        <v>0</v>
      </c>
      <c r="O22" s="110">
        <f>IF(_Ov_Optometry!O22&lt;&gt;"",_Ov_Optometry!O22,SUM(Bend!O22))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25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25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U84"/>
  <sheetViews>
    <sheetView workbookViewId="0"/>
  </sheetViews>
  <sheetFormatPr defaultRowHeight="15" x14ac:dyDescent="0.25"/>
  <cols>
    <col min="49" max="49" width="11.28515625" customWidth="1"/>
  </cols>
  <sheetData>
    <row r="1" spans="1:47" ht="15" customHeight="1" x14ac:dyDescent="0.25">
      <c r="A1" s="1" t="s">
        <v>156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25">
      <c r="A2" s="1"/>
      <c r="B2" s="3"/>
      <c r="C2" s="277" t="s">
        <v>0</v>
      </c>
      <c r="D2" s="253"/>
      <c r="E2" s="253"/>
      <c r="F2" s="253"/>
      <c r="G2" s="279" t="s">
        <v>1</v>
      </c>
      <c r="H2" s="253"/>
      <c r="I2" s="253"/>
      <c r="J2" s="253"/>
      <c r="K2" s="280" t="s">
        <v>2</v>
      </c>
      <c r="L2" s="253"/>
      <c r="M2" s="253"/>
      <c r="N2" s="281" t="s">
        <v>3</v>
      </c>
      <c r="O2" s="253"/>
      <c r="P2" s="278" t="s">
        <v>43</v>
      </c>
      <c r="Q2" s="253"/>
      <c r="R2" s="253"/>
      <c r="S2" s="282" t="s">
        <v>44</v>
      </c>
      <c r="T2" s="253"/>
      <c r="U2" s="253"/>
      <c r="V2" s="275" t="s">
        <v>45</v>
      </c>
      <c r="W2" s="253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25">
      <c r="A3" s="1"/>
      <c r="B3" s="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25">
      <c r="A4" s="1"/>
      <c r="B4" s="3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25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23047</v>
      </c>
      <c r="M5" s="10">
        <f t="shared" si="0"/>
        <v>7927</v>
      </c>
      <c r="N5" s="15">
        <f t="shared" si="0"/>
        <v>3.2385742658911001</v>
      </c>
      <c r="O5" s="16">
        <f t="shared" si="0"/>
        <v>81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25">
      <c r="A6" s="1"/>
      <c r="B6" s="6" t="s">
        <v>13</v>
      </c>
      <c r="C6" s="21" t="s">
        <v>47</v>
      </c>
      <c r="D6" s="22" t="s">
        <v>47</v>
      </c>
      <c r="E6" s="23" t="e">
        <f>AVERAGE(E11:E22)</f>
        <v>#DIV/0!</v>
      </c>
      <c r="F6" s="24" t="e">
        <f>AVERAGE(F11:F22)</f>
        <v>#DIV/0!</v>
      </c>
      <c r="G6" s="25" t="e">
        <f>AVERAGE(G11:G22)</f>
        <v>#DIV/0!</v>
      </c>
      <c r="H6" s="26" t="s">
        <v>47</v>
      </c>
      <c r="I6" s="27" t="e">
        <f>AVERAGE(I11:I22)</f>
        <v>#DIV/0!</v>
      </c>
      <c r="J6" s="28" t="e">
        <f>AVERAGE(J11:J22)</f>
        <v>#DIV/0!</v>
      </c>
      <c r="K6" s="29" t="s">
        <v>47</v>
      </c>
      <c r="L6" s="30">
        <f t="shared" ref="L6:Q6" si="1">AVERAGE(L11:L22)</f>
        <v>1920.5833333333333</v>
      </c>
      <c r="M6" s="31">
        <f t="shared" si="1"/>
        <v>660.58333333333337</v>
      </c>
      <c r="N6" s="29">
        <f t="shared" si="1"/>
        <v>0.26988118882425832</v>
      </c>
      <c r="O6" s="28">
        <f t="shared" si="1"/>
        <v>6.75</v>
      </c>
      <c r="P6" s="32">
        <f t="shared" si="1"/>
        <v>4.25</v>
      </c>
      <c r="Q6" s="33">
        <f t="shared" si="1"/>
        <v>11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25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25">
      <c r="A8" s="1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7" t="s">
        <v>23</v>
      </c>
      <c r="L8" s="263" t="s">
        <v>24</v>
      </c>
      <c r="M8" s="271" t="s">
        <v>25</v>
      </c>
      <c r="N8" s="264" t="s">
        <v>48</v>
      </c>
      <c r="O8" s="273" t="s">
        <v>49</v>
      </c>
      <c r="P8" s="274" t="s">
        <v>18</v>
      </c>
      <c r="Q8" s="274" t="s">
        <v>50</v>
      </c>
      <c r="R8" s="274" t="s">
        <v>51</v>
      </c>
      <c r="S8" s="272" t="s">
        <v>52</v>
      </c>
      <c r="T8" s="272" t="s">
        <v>53</v>
      </c>
      <c r="U8" s="272" t="s">
        <v>54</v>
      </c>
      <c r="V8" s="276" t="s">
        <v>55</v>
      </c>
      <c r="W8" s="27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25">
      <c r="A9" s="1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25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3"/>
      <c r="T10" s="253"/>
      <c r="U10" s="253"/>
      <c r="V10" s="253"/>
      <c r="W10" s="253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25">
      <c r="A11" s="1"/>
      <c r="B11" s="62">
        <f>EDATE(DATE(_Setup!$B$4,10,1),ROW()-ROW($B$11))</f>
        <v>45931</v>
      </c>
      <c r="C11" s="63" t="str">
        <f>IF(_Ov_Optometry!C11&lt;&gt;"",_Ov_Optometry!C11,"")</f>
        <v/>
      </c>
      <c r="D11" s="64" t="str">
        <f>IF(_Ov_Optometry!D11&lt;&gt;"",_Ov_Optometry!D11,"")</f>
        <v/>
      </c>
      <c r="E11" s="65" t="str">
        <f t="shared" ref="E11:E22" si="2">IFERROR(D11/C11,"")</f>
        <v/>
      </c>
      <c r="F11" s="66" t="str">
        <f>IF(_Ov_Optometry!F11&lt;&gt;"",_Ov_Optometry!F11,"")</f>
        <v/>
      </c>
      <c r="G11" s="67" t="str">
        <f>IF(_Ov_Optometry!G11&lt;&gt;"",_Ov_Optometry!G11,"")</f>
        <v/>
      </c>
      <c r="H11" s="68" t="str">
        <f t="shared" ref="H11:H22" si="3">IFERROR(G11/F11,"")</f>
        <v/>
      </c>
      <c r="I11" s="69" t="str">
        <f>IF(_Ov_Optometry!I11&lt;&gt;"",_Ov_Optometry!I11,"")</f>
        <v/>
      </c>
      <c r="J11" s="70" t="str">
        <f>IF(_Ov_Optometry!J11&lt;&gt;"",_Ov_Optometry!J11,"")</f>
        <v/>
      </c>
      <c r="K11" s="71" t="str">
        <f>IF(_Ov_Optometry!K11&lt;&gt;"",_Ov_Optometry!K11,IFERROR(Optical!BA11/Optical!AZ11,""))</f>
        <v/>
      </c>
      <c r="L11" s="72">
        <f>IF(_Ov_Optometry!L11&lt;&gt;"",_Ov_Optometry!L11,SUM(Optical!L11))</f>
        <v>3255</v>
      </c>
      <c r="M11" s="73">
        <f>IF(_Ov_Optometry!M11&lt;&gt;"",_Ov_Optometry!M11,SUM(Optical!M11))</f>
        <v>991</v>
      </c>
      <c r="N11" s="71">
        <f>IF(_Ov_Optometry!N11&lt;&gt;"",_Ov_Optometry!N11,SUM(Optical!N11))</f>
        <v>0.30445468509984641</v>
      </c>
      <c r="O11" s="73">
        <f>IF(_Ov_Optometry!O11&lt;&gt;"",_Ov_Optometry!O11,SUM(Optical!O11))</f>
        <v>6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4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25">
      <c r="A12" s="1"/>
      <c r="B12" s="62">
        <f>EDATE(DATE(_Setup!$B$4,10,1),ROW()-ROW($B$11))</f>
        <v>45962</v>
      </c>
      <c r="C12" s="81" t="str">
        <f>IF(_Ov_Optometry!C12&lt;&gt;"",_Ov_Optometry!C12,"")</f>
        <v/>
      </c>
      <c r="D12" s="82" t="str">
        <f>IF(_Ov_Optometry!D12&lt;&gt;"",_Ov_Optometry!D12,"")</f>
        <v/>
      </c>
      <c r="E12" s="83" t="str">
        <f t="shared" si="2"/>
        <v/>
      </c>
      <c r="F12" s="84" t="str">
        <f>IF(_Ov_Optometry!F12&lt;&gt;"",_Ov_Optometry!F12,"")</f>
        <v/>
      </c>
      <c r="G12" s="85" t="str">
        <f>IF(_Ov_Optometry!G12&lt;&gt;"",_Ov_Optometry!G12,"")</f>
        <v/>
      </c>
      <c r="H12" s="86" t="str">
        <f t="shared" si="3"/>
        <v/>
      </c>
      <c r="I12" s="87" t="str">
        <f>IF(_Ov_Optometry!I12&lt;&gt;"",_Ov_Optometry!I12,"")</f>
        <v/>
      </c>
      <c r="J12" s="88" t="str">
        <f>IF(_Ov_Optometry!J12&lt;&gt;"",_Ov_Optometry!J12,"")</f>
        <v/>
      </c>
      <c r="K12" s="89" t="str">
        <f>IF(_Ov_Optometry!K12&lt;&gt;"",_Ov_Optometry!K12,IFERROR(Optical!BA12/Optical!AZ12,""))</f>
        <v/>
      </c>
      <c r="L12" s="90">
        <f>IF(_Ov_Optometry!L12&lt;&gt;"",_Ov_Optometry!L12,SUM(Optical!L12))</f>
        <v>2790</v>
      </c>
      <c r="M12" s="91">
        <f>IF(_Ov_Optometry!M12&lt;&gt;"",_Ov_Optometry!M12,SUM(Optical!M12))</f>
        <v>705</v>
      </c>
      <c r="N12" s="89">
        <f>IF(_Ov_Optometry!N12&lt;&gt;"",_Ov_Optometry!N12,SUM(Optical!N12))</f>
        <v>0.25268817204301075</v>
      </c>
      <c r="O12" s="91">
        <f>IF(_Ov_Optometry!O12&lt;&gt;"",_Ov_Optometry!O12,SUM(Optical!O12))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4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25">
      <c r="A13" s="1"/>
      <c r="B13" s="62">
        <f>EDATE(DATE(_Setup!$B$4,10,1),ROW()-ROW($B$11))</f>
        <v>45992</v>
      </c>
      <c r="C13" s="81" t="str">
        <f>IF(_Ov_Optometry!C13&lt;&gt;"",_Ov_Optometry!C13,"")</f>
        <v/>
      </c>
      <c r="D13" s="82" t="str">
        <f>IF(_Ov_Optometry!D13&lt;&gt;"",_Ov_Optometry!D13,"")</f>
        <v/>
      </c>
      <c r="E13" s="83" t="str">
        <f t="shared" si="2"/>
        <v/>
      </c>
      <c r="F13" s="84" t="str">
        <f>IF(_Ov_Optometry!F13&lt;&gt;"",_Ov_Optometry!F13,"")</f>
        <v/>
      </c>
      <c r="G13" s="85" t="str">
        <f>IF(_Ov_Optometry!G13&lt;&gt;"",_Ov_Optometry!G13,"")</f>
        <v/>
      </c>
      <c r="H13" s="86" t="str">
        <f t="shared" si="3"/>
        <v/>
      </c>
      <c r="I13" s="87" t="str">
        <f>IF(_Ov_Optometry!I13&lt;&gt;"",_Ov_Optometry!I13,"")</f>
        <v/>
      </c>
      <c r="J13" s="88" t="str">
        <f>IF(_Ov_Optometry!J13&lt;&gt;"",_Ov_Optometry!J13,"")</f>
        <v/>
      </c>
      <c r="K13" s="89" t="str">
        <f>IF(_Ov_Optometry!K13&lt;&gt;"",_Ov_Optometry!K13,IFERROR(Optical!BA13/Optical!AZ13,""))</f>
        <v/>
      </c>
      <c r="L13" s="90">
        <f>IF(_Ov_Optometry!L13&lt;&gt;"",_Ov_Optometry!L13,SUM(Optical!L13))</f>
        <v>3410</v>
      </c>
      <c r="M13" s="91">
        <f>IF(_Ov_Optometry!M13&lt;&gt;"",_Ov_Optometry!M13,SUM(Optical!M13))</f>
        <v>887</v>
      </c>
      <c r="N13" s="89">
        <f>IF(_Ov_Optometry!N13&lt;&gt;"",_Ov_Optometry!N13,SUM(Optical!N13))</f>
        <v>0.26011730205278594</v>
      </c>
      <c r="O13" s="91">
        <f>IF(_Ov_Optometry!O13&lt;&gt;"",_Ov_Optometry!O13,SUM(Optical!O13))</f>
        <v>9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4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25">
      <c r="A14" s="1"/>
      <c r="B14" s="62">
        <f>EDATE(DATE(_Setup!$B$4,10,1),ROW()-ROW($B$11))</f>
        <v>46023</v>
      </c>
      <c r="C14" s="81" t="str">
        <f>IF(_Ov_Optometry!C14&lt;&gt;"",_Ov_Optometry!C14,"")</f>
        <v/>
      </c>
      <c r="D14" s="82" t="str">
        <f>IF(_Ov_Optometry!D14&lt;&gt;"",_Ov_Optometry!D14,"")</f>
        <v/>
      </c>
      <c r="E14" s="83" t="str">
        <f t="shared" si="2"/>
        <v/>
      </c>
      <c r="F14" s="84" t="str">
        <f>IF(_Ov_Optometry!F14&lt;&gt;"",_Ov_Optometry!F14,"")</f>
        <v/>
      </c>
      <c r="G14" s="85" t="str">
        <f>IF(_Ov_Optometry!G14&lt;&gt;"",_Ov_Optometry!G14,"")</f>
        <v/>
      </c>
      <c r="H14" s="86" t="str">
        <f t="shared" si="3"/>
        <v/>
      </c>
      <c r="I14" s="87" t="str">
        <f>IF(_Ov_Optometry!I14&lt;&gt;"",_Ov_Optometry!I14,"")</f>
        <v/>
      </c>
      <c r="J14" s="88" t="str">
        <f>IF(_Ov_Optometry!J14&lt;&gt;"",_Ov_Optometry!J14,"")</f>
        <v/>
      </c>
      <c r="K14" s="89" t="str">
        <f>IF(_Ov_Optometry!K14&lt;&gt;"",_Ov_Optometry!K14,IFERROR(Optical!BA14/Optical!AZ14,""))</f>
        <v/>
      </c>
      <c r="L14" s="90">
        <f>IF(_Ov_Optometry!L14&lt;&gt;"",_Ov_Optometry!L14,SUM(Optical!L14))</f>
        <v>3085</v>
      </c>
      <c r="M14" s="91">
        <f>IF(_Ov_Optometry!M14&lt;&gt;"",_Ov_Optometry!M14,SUM(Optical!M14))</f>
        <v>885</v>
      </c>
      <c r="N14" s="89">
        <f>IF(_Ov_Optometry!N14&lt;&gt;"",_Ov_Optometry!N14,SUM(Optical!N14))</f>
        <v>0.28687196110210694</v>
      </c>
      <c r="O14" s="91">
        <f>IF(_Ov_Optometry!O14&lt;&gt;"",_Ov_Optometry!O14,SUM(Optical!O14))</f>
        <v>20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4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25">
      <c r="A15" s="1"/>
      <c r="B15" s="62">
        <f>EDATE(DATE(_Setup!$B$4,10,1),ROW()-ROW($B$11))</f>
        <v>46054</v>
      </c>
      <c r="C15" s="81" t="str">
        <f>IF(_Ov_Optometry!C15&lt;&gt;"",_Ov_Optometry!C15,"")</f>
        <v/>
      </c>
      <c r="D15" s="82" t="str">
        <f>IF(_Ov_Optometry!D15&lt;&gt;"",_Ov_Optometry!D15,"")</f>
        <v/>
      </c>
      <c r="E15" s="83" t="str">
        <f t="shared" si="2"/>
        <v/>
      </c>
      <c r="F15" s="84" t="str">
        <f>IF(_Ov_Optometry!F15&lt;&gt;"",_Ov_Optometry!F15,"")</f>
        <v/>
      </c>
      <c r="G15" s="85" t="str">
        <f>IF(_Ov_Optometry!G15&lt;&gt;"",_Ov_Optometry!G15,"")</f>
        <v/>
      </c>
      <c r="H15" s="86" t="str">
        <f t="shared" si="3"/>
        <v/>
      </c>
      <c r="I15" s="87" t="str">
        <f>IF(_Ov_Optometry!I15&lt;&gt;"",_Ov_Optometry!I15,"")</f>
        <v/>
      </c>
      <c r="J15" s="88" t="str">
        <f>IF(_Ov_Optometry!J15&lt;&gt;"",_Ov_Optometry!J15,"")</f>
        <v/>
      </c>
      <c r="K15" s="89" t="str">
        <f>IF(_Ov_Optometry!K15&lt;&gt;"",_Ov_Optometry!K15,IFERROR(Optical!BA15/Optical!AZ15,""))</f>
        <v/>
      </c>
      <c r="L15" s="90">
        <f>IF(_Ov_Optometry!L15&lt;&gt;"",_Ov_Optometry!L15,SUM(Optical!L15))</f>
        <v>1748</v>
      </c>
      <c r="M15" s="91">
        <f>IF(_Ov_Optometry!M15&lt;&gt;"",_Ov_Optometry!M15,SUM(Optical!M15))</f>
        <v>840</v>
      </c>
      <c r="N15" s="89">
        <f>IF(_Ov_Optometry!N15&lt;&gt;"",_Ov_Optometry!N15,SUM(Optical!N15))</f>
        <v>0.4805491990846682</v>
      </c>
      <c r="O15" s="91">
        <f>IF(_Ov_Optometry!O15&lt;&gt;"",_Ov_Optometry!O15,SUM(Optical!O15))</f>
        <v>10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4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25">
      <c r="A16" s="1"/>
      <c r="B16" s="62">
        <f>EDATE(DATE(_Setup!$B$4,10,1),ROW()-ROW($B$11))</f>
        <v>46082</v>
      </c>
      <c r="C16" s="81" t="str">
        <f>IF(_Ov_Optometry!C16&lt;&gt;"",_Ov_Optometry!C16,"")</f>
        <v/>
      </c>
      <c r="D16" s="82" t="str">
        <f>IF(_Ov_Optometry!D16&lt;&gt;"",_Ov_Optometry!D16,"")</f>
        <v/>
      </c>
      <c r="E16" s="83" t="str">
        <f t="shared" si="2"/>
        <v/>
      </c>
      <c r="F16" s="84" t="str">
        <f>IF(_Ov_Optometry!F16&lt;&gt;"",_Ov_Optometry!F16,"")</f>
        <v/>
      </c>
      <c r="G16" s="85" t="str">
        <f>IF(_Ov_Optometry!G16&lt;&gt;"",_Ov_Optometry!G16,"")</f>
        <v/>
      </c>
      <c r="H16" s="86" t="str">
        <f t="shared" si="3"/>
        <v/>
      </c>
      <c r="I16" s="87" t="str">
        <f>IF(_Ov_Optometry!I16&lt;&gt;"",_Ov_Optometry!I16,"")</f>
        <v/>
      </c>
      <c r="J16" s="88" t="str">
        <f>IF(_Ov_Optometry!J16&lt;&gt;"",_Ov_Optometry!J16,"")</f>
        <v/>
      </c>
      <c r="K16" s="89" t="str">
        <f>IF(_Ov_Optometry!K16&lt;&gt;"",_Ov_Optometry!K16,IFERROR(Optical!BA16/Optical!AZ16,""))</f>
        <v/>
      </c>
      <c r="L16" s="90">
        <f>IF(_Ov_Optometry!L16&lt;&gt;"",_Ov_Optometry!L16,SUM(Optical!L16))</f>
        <v>2236</v>
      </c>
      <c r="M16" s="91">
        <f>IF(_Ov_Optometry!M16&lt;&gt;"",_Ov_Optometry!M16,SUM(Optical!M16))</f>
        <v>989</v>
      </c>
      <c r="N16" s="89">
        <f>IF(_Ov_Optometry!N16&lt;&gt;"",_Ov_Optometry!N16,SUM(Optical!N16))</f>
        <v>0.44230769230769229</v>
      </c>
      <c r="O16" s="91">
        <f>IF(_Ov_Optometry!O16&lt;&gt;"",_Ov_Optometry!O16,SUM(Optical!O16))</f>
        <v>9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4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25">
      <c r="A17" s="1"/>
      <c r="B17" s="62">
        <f>EDATE(DATE(_Setup!$B$4,10,1),ROW()-ROW($B$11))</f>
        <v>46113</v>
      </c>
      <c r="C17" s="81" t="str">
        <f>IF(_Ov_Optometry!C17&lt;&gt;"",_Ov_Optometry!C17,"")</f>
        <v/>
      </c>
      <c r="D17" s="82" t="str">
        <f>IF(_Ov_Optometry!D17&lt;&gt;"",_Ov_Optometry!D17,"")</f>
        <v/>
      </c>
      <c r="E17" s="83" t="str">
        <f t="shared" si="2"/>
        <v/>
      </c>
      <c r="F17" s="84" t="str">
        <f>IF(_Ov_Optometry!F17&lt;&gt;"",_Ov_Optometry!F17,"")</f>
        <v/>
      </c>
      <c r="G17" s="85" t="str">
        <f>IF(_Ov_Optometry!G17&lt;&gt;"",_Ov_Optometry!G17,"")</f>
        <v/>
      </c>
      <c r="H17" s="86" t="str">
        <f t="shared" si="3"/>
        <v/>
      </c>
      <c r="I17" s="87" t="str">
        <f>IF(_Ov_Optometry!I17&lt;&gt;"",_Ov_Optometry!I17,"")</f>
        <v/>
      </c>
      <c r="J17" s="88" t="str">
        <f>IF(_Ov_Optometry!J17&lt;&gt;"",_Ov_Optometry!J17,"")</f>
        <v/>
      </c>
      <c r="K17" s="89" t="str">
        <f>IF(_Ov_Optometry!K17&lt;&gt;"",_Ov_Optometry!K17,IFERROR(Optical!BA17/Optical!AZ17,""))</f>
        <v/>
      </c>
      <c r="L17" s="90">
        <f>IF(_Ov_Optometry!L17&lt;&gt;"",_Ov_Optometry!L17,SUM(Optical!L17))</f>
        <v>2236</v>
      </c>
      <c r="M17" s="91">
        <f>IF(_Ov_Optometry!M17&lt;&gt;"",_Ov_Optometry!M17,SUM(Optical!M17))</f>
        <v>906</v>
      </c>
      <c r="N17" s="89">
        <f>IF(_Ov_Optometry!N17&lt;&gt;"",_Ov_Optometry!N17,SUM(Optical!N17))</f>
        <v>0.40518783542039355</v>
      </c>
      <c r="O17" s="91">
        <f>IF(_Ov_Optometry!O17&lt;&gt;"",_Ov_Optometry!O17,SUM(Optical!O17))</f>
        <v>8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4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25">
      <c r="A18" s="1"/>
      <c r="B18" s="62">
        <f>EDATE(DATE(_Setup!$B$4,10,1),ROW()-ROW($B$11))</f>
        <v>46143</v>
      </c>
      <c r="C18" s="81" t="str">
        <f>IF(_Ov_Optometry!C18&lt;&gt;"",_Ov_Optometry!C18,"")</f>
        <v/>
      </c>
      <c r="D18" s="82" t="str">
        <f>IF(_Ov_Optometry!D18&lt;&gt;"",_Ov_Optometry!D18,"")</f>
        <v/>
      </c>
      <c r="E18" s="83" t="str">
        <f t="shared" si="2"/>
        <v/>
      </c>
      <c r="F18" s="84" t="str">
        <f>IF(_Ov_Optometry!F18&lt;&gt;"",_Ov_Optometry!F18,"")</f>
        <v/>
      </c>
      <c r="G18" s="85" t="str">
        <f>IF(_Ov_Optometry!G18&lt;&gt;"",_Ov_Optometry!G18,"")</f>
        <v/>
      </c>
      <c r="H18" s="86" t="str">
        <f t="shared" si="3"/>
        <v/>
      </c>
      <c r="I18" s="87" t="str">
        <f>IF(_Ov_Optometry!I18&lt;&gt;"",_Ov_Optometry!I18,"")</f>
        <v/>
      </c>
      <c r="J18" s="88" t="str">
        <f>IF(_Ov_Optometry!J18&lt;&gt;"",_Ov_Optometry!J18,"")</f>
        <v/>
      </c>
      <c r="K18" s="89" t="str">
        <f>IF(_Ov_Optometry!K18&lt;&gt;"",_Ov_Optometry!K18,IFERROR(Optical!BA18/Optical!AZ18,""))</f>
        <v/>
      </c>
      <c r="L18" s="90">
        <f>IF(_Ov_Optometry!L18&lt;&gt;"",_Ov_Optometry!L18,SUM(Optical!L18))</f>
        <v>2040</v>
      </c>
      <c r="M18" s="91">
        <f>IF(_Ov_Optometry!M18&lt;&gt;"",_Ov_Optometry!M18,SUM(Optical!M18))</f>
        <v>867</v>
      </c>
      <c r="N18" s="89">
        <f>IF(_Ov_Optometry!N18&lt;&gt;"",_Ov_Optometry!N18,SUM(Optical!N18))</f>
        <v>0.42499999999999999</v>
      </c>
      <c r="O18" s="91">
        <f>IF(_Ov_Optometry!O18&lt;&gt;"",_Ov_Optometry!O18,SUM(Optical!O18))</f>
        <v>16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4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25">
      <c r="A19" s="1"/>
      <c r="B19" s="62">
        <f>EDATE(DATE(_Setup!$B$4,10,1),ROW()-ROW($B$11))</f>
        <v>46174</v>
      </c>
      <c r="C19" s="81" t="str">
        <f>IF(_Ov_Optometry!C19&lt;&gt;"",_Ov_Optometry!C19,"")</f>
        <v/>
      </c>
      <c r="D19" s="82" t="str">
        <f>IF(_Ov_Optometry!D19&lt;&gt;"",_Ov_Optometry!D19,"")</f>
        <v/>
      </c>
      <c r="E19" s="83" t="str">
        <f t="shared" si="2"/>
        <v/>
      </c>
      <c r="F19" s="84" t="str">
        <f>IF(_Ov_Optometry!F19&lt;&gt;"",_Ov_Optometry!F19,"")</f>
        <v/>
      </c>
      <c r="G19" s="85" t="str">
        <f>IF(_Ov_Optometry!G19&lt;&gt;"",_Ov_Optometry!G19,"")</f>
        <v/>
      </c>
      <c r="H19" s="86" t="str">
        <f t="shared" si="3"/>
        <v/>
      </c>
      <c r="I19" s="87" t="str">
        <f>IF(_Ov_Optometry!I19&lt;&gt;"",_Ov_Optometry!I19,"")</f>
        <v/>
      </c>
      <c r="J19" s="88" t="str">
        <f>IF(_Ov_Optometry!J19&lt;&gt;"",_Ov_Optometry!J19,"")</f>
        <v/>
      </c>
      <c r="K19" s="89" t="str">
        <f>IF(_Ov_Optometry!K19&lt;&gt;"",_Ov_Optometry!K19,IFERROR(Optical!BA19/Optical!AZ19,""))</f>
        <v/>
      </c>
      <c r="L19" s="90">
        <f>IF(_Ov_Optometry!L19&lt;&gt;"",_Ov_Optometry!L19,SUM(Optical!L19))</f>
        <v>2247</v>
      </c>
      <c r="M19" s="91">
        <f>IF(_Ov_Optometry!M19&lt;&gt;"",_Ov_Optometry!M19,SUM(Optical!M19))</f>
        <v>857</v>
      </c>
      <c r="N19" s="89">
        <f>IF(_Ov_Optometry!N19&lt;&gt;"",_Ov_Optometry!N19,SUM(Optical!N19))</f>
        <v>0.38139741878059635</v>
      </c>
      <c r="O19" s="91">
        <f>IF(_Ov_Optometry!O19&lt;&gt;"",_Ov_Optometry!O19,SUM(Optical!O19))</f>
        <v>3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4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25">
      <c r="A20" s="1"/>
      <c r="B20" s="62">
        <f>EDATE(DATE(_Setup!$B$4,10,1),ROW()-ROW($B$11))</f>
        <v>46204</v>
      </c>
      <c r="C20" s="81" t="str">
        <f>IF(_Ov_Optometry!C20&lt;&gt;"",_Ov_Optometry!C20,"")</f>
        <v/>
      </c>
      <c r="D20" s="82" t="str">
        <f>IF(_Ov_Optometry!D20&lt;&gt;"",_Ov_Optometry!D20,"")</f>
        <v/>
      </c>
      <c r="E20" s="83" t="str">
        <f t="shared" si="2"/>
        <v/>
      </c>
      <c r="F20" s="84" t="str">
        <f>IF(_Ov_Optometry!F20&lt;&gt;"",_Ov_Optometry!F20,"")</f>
        <v/>
      </c>
      <c r="G20" s="85" t="str">
        <f>IF(_Ov_Optometry!G20&lt;&gt;"",_Ov_Optometry!G20,"")</f>
        <v/>
      </c>
      <c r="H20" s="86" t="str">
        <f t="shared" si="3"/>
        <v/>
      </c>
      <c r="I20" s="87" t="str">
        <f>IF(_Ov_Optometry!I20&lt;&gt;"",_Ov_Optometry!I20,"")</f>
        <v/>
      </c>
      <c r="J20" s="88" t="str">
        <f>IF(_Ov_Optometry!J20&lt;&gt;"",_Ov_Optometry!J20,"")</f>
        <v/>
      </c>
      <c r="K20" s="89" t="str">
        <f>IF(_Ov_Optometry!K20&lt;&gt;"",_Ov_Optometry!K20,IFERROR(Optical!BA20/Optical!AZ20,""))</f>
        <v/>
      </c>
      <c r="L20" s="90">
        <f>IF(_Ov_Optometry!L20&lt;&gt;"",_Ov_Optometry!L20,SUM(Optical!L20))</f>
        <v>0</v>
      </c>
      <c r="M20" s="91">
        <f>IF(_Ov_Optometry!M20&lt;&gt;"",_Ov_Optometry!M20,SUM(Optical!M20))</f>
        <v>0</v>
      </c>
      <c r="N20" s="89">
        <f>IF(_Ov_Optometry!N20&lt;&gt;"",_Ov_Optometry!N20,SUM(Optical!N20))</f>
        <v>0</v>
      </c>
      <c r="O20" s="91">
        <f>IF(_Ov_Optometry!O20&lt;&gt;"",_Ov_Optometry!O20,SUM(Optical!O20))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25">
      <c r="A21" s="1"/>
      <c r="B21" s="62">
        <f>EDATE(DATE(_Setup!$B$4,10,1),ROW()-ROW($B$11))</f>
        <v>46235</v>
      </c>
      <c r="C21" s="81" t="str">
        <f>IF(_Ov_Optometry!C21&lt;&gt;"",_Ov_Optometry!C21,"")</f>
        <v/>
      </c>
      <c r="D21" s="82" t="str">
        <f>IF(_Ov_Optometry!D21&lt;&gt;"",_Ov_Optometry!D21,"")</f>
        <v/>
      </c>
      <c r="E21" s="83" t="str">
        <f t="shared" si="2"/>
        <v/>
      </c>
      <c r="F21" s="84" t="str">
        <f>IF(_Ov_Optometry!F21&lt;&gt;"",_Ov_Optometry!F21,"")</f>
        <v/>
      </c>
      <c r="G21" s="85" t="str">
        <f>IF(_Ov_Optometry!G21&lt;&gt;"",_Ov_Optometry!G21,"")</f>
        <v/>
      </c>
      <c r="H21" s="86" t="str">
        <f t="shared" si="3"/>
        <v/>
      </c>
      <c r="I21" s="87" t="str">
        <f>IF(_Ov_Optometry!I21&lt;&gt;"",_Ov_Optometry!I21,"")</f>
        <v/>
      </c>
      <c r="J21" s="88" t="str">
        <f>IF(_Ov_Optometry!J21&lt;&gt;"",_Ov_Optometry!J21,"")</f>
        <v/>
      </c>
      <c r="K21" s="89" t="str">
        <f>IF(_Ov_Optometry!K21&lt;&gt;"",_Ov_Optometry!K21,IFERROR(Optical!BA21/Optical!AZ21,""))</f>
        <v/>
      </c>
      <c r="L21" s="90">
        <f>IF(_Ov_Optometry!L21&lt;&gt;"",_Ov_Optometry!L21,SUM(Optical!L21))</f>
        <v>0</v>
      </c>
      <c r="M21" s="91">
        <f>IF(_Ov_Optometry!M21&lt;&gt;"",_Ov_Optometry!M21,SUM(Optical!M21))</f>
        <v>0</v>
      </c>
      <c r="N21" s="89">
        <f>IF(_Ov_Optometry!N21&lt;&gt;"",_Ov_Optometry!N21,SUM(Optical!N21))</f>
        <v>0</v>
      </c>
      <c r="O21" s="91">
        <f>IF(_Ov_Optometry!O21&lt;&gt;"",_Ov_Optometry!O21,SUM(Optical!O21))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25">
      <c r="A22" s="1"/>
      <c r="B22" s="62">
        <f>EDATE(DATE(_Setup!$B$4,10,1),ROW()-ROW($B$11))</f>
        <v>46266</v>
      </c>
      <c r="C22" s="100" t="str">
        <f>IF(_Ov_Optometry!C22&lt;&gt;"",_Ov_Optometry!C22,"")</f>
        <v/>
      </c>
      <c r="D22" s="101" t="str">
        <f>IF(_Ov_Optometry!D22&lt;&gt;"",_Ov_Optometry!D22,"")</f>
        <v/>
      </c>
      <c r="E22" s="102" t="str">
        <f t="shared" si="2"/>
        <v/>
      </c>
      <c r="F22" s="103" t="str">
        <f>IF(_Ov_Optometry!F22&lt;&gt;"",_Ov_Optometry!F22,"")</f>
        <v/>
      </c>
      <c r="G22" s="104" t="str">
        <f>IF(_Ov_Optometry!G22&lt;&gt;"",_Ov_Optometry!G22,"")</f>
        <v/>
      </c>
      <c r="H22" s="105" t="str">
        <f t="shared" si="3"/>
        <v/>
      </c>
      <c r="I22" s="106" t="str">
        <f>IF(_Ov_Optometry!I22&lt;&gt;"",_Ov_Optometry!I22,"")</f>
        <v/>
      </c>
      <c r="J22" s="107" t="str">
        <f>IF(_Ov_Optometry!J22&lt;&gt;"",_Ov_Optometry!J22,"")</f>
        <v/>
      </c>
      <c r="K22" s="108" t="str">
        <f>IF(_Ov_Optometry!K22&lt;&gt;"",_Ov_Optometry!K22,IFERROR(Optical!BA22/Optical!AZ22,""))</f>
        <v/>
      </c>
      <c r="L22" s="109">
        <f>IF(_Ov_Optometry!L22&lt;&gt;"",_Ov_Optometry!L22,SUM(Optical!L22))</f>
        <v>0</v>
      </c>
      <c r="M22" s="110">
        <f>IF(_Ov_Optometry!M22&lt;&gt;"",_Ov_Optometry!M22,SUM(Optical!M22))</f>
        <v>0</v>
      </c>
      <c r="N22" s="108">
        <f>IF(_Ov_Optometry!N22&lt;&gt;"",_Ov_Optometry!N22,SUM(Optical!N22))</f>
        <v>0</v>
      </c>
      <c r="O22" s="110">
        <f>IF(_Ov_Optometry!O22&lt;&gt;"",_Ov_Optometry!O22,SUM(Optical!O22))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25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25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U84"/>
  <sheetViews>
    <sheetView workbookViewId="0"/>
  </sheetViews>
  <sheetFormatPr defaultRowHeight="15" x14ac:dyDescent="0.25"/>
  <cols>
    <col min="49" max="49" width="11.28515625" customWidth="1"/>
  </cols>
  <sheetData>
    <row r="1" spans="1:47" ht="15" customHeight="1" x14ac:dyDescent="0.25">
      <c r="A1" s="1" t="s">
        <v>157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25">
      <c r="A2" s="1"/>
      <c r="B2" s="3"/>
      <c r="C2" s="277" t="s">
        <v>0</v>
      </c>
      <c r="D2" s="253"/>
      <c r="E2" s="253"/>
      <c r="F2" s="253"/>
      <c r="G2" s="279" t="s">
        <v>1</v>
      </c>
      <c r="H2" s="253"/>
      <c r="I2" s="253"/>
      <c r="J2" s="253"/>
      <c r="K2" s="280" t="s">
        <v>2</v>
      </c>
      <c r="L2" s="253"/>
      <c r="M2" s="253"/>
      <c r="N2" s="281" t="s">
        <v>3</v>
      </c>
      <c r="O2" s="253"/>
      <c r="P2" s="278" t="s">
        <v>43</v>
      </c>
      <c r="Q2" s="253"/>
      <c r="R2" s="253"/>
      <c r="S2" s="282" t="s">
        <v>44</v>
      </c>
      <c r="T2" s="253"/>
      <c r="U2" s="253"/>
      <c r="V2" s="275" t="s">
        <v>45</v>
      </c>
      <c r="W2" s="253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25">
      <c r="A3" s="1"/>
      <c r="B3" s="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25">
      <c r="A4" s="1"/>
      <c r="B4" s="3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  <c r="W4" s="254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25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25">
      <c r="A6" s="1"/>
      <c r="B6" s="6" t="s">
        <v>13</v>
      </c>
      <c r="C6" s="21" t="s">
        <v>47</v>
      </c>
      <c r="D6" s="22" t="s">
        <v>47</v>
      </c>
      <c r="E6" s="23" t="e">
        <f>AVERAGE(E11:E22)</f>
        <v>#DIV/0!</v>
      </c>
      <c r="F6" s="24" t="e">
        <f>AVERAGE(F11:F22)</f>
        <v>#DIV/0!</v>
      </c>
      <c r="G6" s="25" t="e">
        <f>AVERAGE(G11:G22)</f>
        <v>#DIV/0!</v>
      </c>
      <c r="H6" s="26" t="s">
        <v>47</v>
      </c>
      <c r="I6" s="27" t="e">
        <f>AVERAGE(I11:I22)</f>
        <v>#DIV/0!</v>
      </c>
      <c r="J6" s="28" t="e">
        <f>AVERAGE(J11:J22)</f>
        <v>#DIV/0!</v>
      </c>
      <c r="K6" s="29" t="s">
        <v>47</v>
      </c>
      <c r="L6" s="30">
        <f t="shared" ref="L6:Q6" si="1">AVERAGE(L11:L22)</f>
        <v>0</v>
      </c>
      <c r="M6" s="31">
        <f t="shared" si="1"/>
        <v>0</v>
      </c>
      <c r="N6" s="29" t="e">
        <f t="shared" si="1"/>
        <v>#DIV/0!</v>
      </c>
      <c r="O6" s="28" t="e">
        <f t="shared" si="1"/>
        <v>#DIV/0!</v>
      </c>
      <c r="P6" s="32">
        <f t="shared" si="1"/>
        <v>4.25</v>
      </c>
      <c r="Q6" s="33">
        <f t="shared" si="1"/>
        <v>11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e">
        <f>AVERAGE(W11:W22)</f>
        <v>#DIV/0!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25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25">
      <c r="A8" s="1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7" t="s">
        <v>23</v>
      </c>
      <c r="L8" s="263" t="s">
        <v>24</v>
      </c>
      <c r="M8" s="271" t="s">
        <v>25</v>
      </c>
      <c r="N8" s="264" t="s">
        <v>48</v>
      </c>
      <c r="O8" s="273" t="s">
        <v>49</v>
      </c>
      <c r="P8" s="274" t="s">
        <v>18</v>
      </c>
      <c r="Q8" s="274" t="s">
        <v>50</v>
      </c>
      <c r="R8" s="274" t="s">
        <v>51</v>
      </c>
      <c r="S8" s="272" t="s">
        <v>52</v>
      </c>
      <c r="T8" s="272" t="s">
        <v>53</v>
      </c>
      <c r="U8" s="272" t="s">
        <v>54</v>
      </c>
      <c r="V8" s="276" t="s">
        <v>55</v>
      </c>
      <c r="W8" s="276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25">
      <c r="A9" s="1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25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3"/>
      <c r="T10" s="253"/>
      <c r="U10" s="253"/>
      <c r="V10" s="253"/>
      <c r="W10" s="253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25">
      <c r="A11" s="1"/>
      <c r="B11" s="62">
        <f>EDATE(DATE(_Setup!$B$4,10,1),ROW()-ROW($B$11))</f>
        <v>45931</v>
      </c>
      <c r="C11" s="63" t="str">
        <f>IF(_Ov_Optometry!C11&lt;&gt;"",_Ov_Optometry!C11,"")</f>
        <v/>
      </c>
      <c r="D11" s="64" t="str">
        <f>IF(_Ov_Optometry!D11&lt;&gt;"",_Ov_Optometry!D11,"")</f>
        <v/>
      </c>
      <c r="E11" s="65" t="str">
        <f t="shared" ref="E11:E22" si="2">IFERROR(D11/C11,"")</f>
        <v/>
      </c>
      <c r="F11" s="66" t="str">
        <f>IF(_Ov_Optometry!F11&lt;&gt;"",_Ov_Optometry!F11,"")</f>
        <v/>
      </c>
      <c r="G11" s="67" t="str">
        <f>IF(_Ov_Optometry!G11&lt;&gt;"",_Ov_Optometry!G11,"")</f>
        <v/>
      </c>
      <c r="H11" s="68" t="str">
        <f t="shared" ref="H11:H22" si="3">IFERROR(G11/F11,"")</f>
        <v/>
      </c>
      <c r="I11" s="69" t="str">
        <f>IF(_Ov_Optometry!I11&lt;&gt;"",_Ov_Optometry!I11,"")</f>
        <v/>
      </c>
      <c r="J11" s="70" t="str">
        <f>IF(_Ov_Optometry!J11&lt;&gt;"",_Ov_Optometry!J11,"")</f>
        <v/>
      </c>
      <c r="K11" s="71" t="str">
        <f>IF(_Ov_Optometry!K11&lt;&gt;"",_Ov_Optometry!K11,IFERROR(Optometry!BA11/Optometry!AZ11,""))</f>
        <v/>
      </c>
      <c r="L11" s="72">
        <f>IF(_Ov_Optometry!L11&lt;&gt;"",_Ov_Optometry!L11,SUM(Optometry!L11))</f>
        <v>0</v>
      </c>
      <c r="M11" s="73">
        <f>IF(_Ov_Optometry!M11&lt;&gt;"",_Ov_Optometry!M11,SUM(Optometry!M11))</f>
        <v>0</v>
      </c>
      <c r="N11" s="71" t="str">
        <f>IF(_Ov_Optometry!N11&lt;&gt;"",_Ov_Optometry!N11,"")</f>
        <v/>
      </c>
      <c r="O11" s="73" t="str">
        <f>IF(_Ov_Optometry!O11&lt;&gt;"",_Ov_Optometry!O11,"")</f>
        <v/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4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25">
      <c r="A12" s="1"/>
      <c r="B12" s="62">
        <f>EDATE(DATE(_Setup!$B$4,10,1),ROW()-ROW($B$11))</f>
        <v>45962</v>
      </c>
      <c r="C12" s="81" t="str">
        <f>IF(_Ov_Optometry!C12&lt;&gt;"",_Ov_Optometry!C12,"")</f>
        <v/>
      </c>
      <c r="D12" s="82" t="str">
        <f>IF(_Ov_Optometry!D12&lt;&gt;"",_Ov_Optometry!D12,"")</f>
        <v/>
      </c>
      <c r="E12" s="83" t="str">
        <f t="shared" si="2"/>
        <v/>
      </c>
      <c r="F12" s="84" t="str">
        <f>IF(_Ov_Optometry!F12&lt;&gt;"",_Ov_Optometry!F12,"")</f>
        <v/>
      </c>
      <c r="G12" s="85" t="str">
        <f>IF(_Ov_Optometry!G12&lt;&gt;"",_Ov_Optometry!G12,"")</f>
        <v/>
      </c>
      <c r="H12" s="86" t="str">
        <f t="shared" si="3"/>
        <v/>
      </c>
      <c r="I12" s="87" t="str">
        <f>IF(_Ov_Optometry!I12&lt;&gt;"",_Ov_Optometry!I12,"")</f>
        <v/>
      </c>
      <c r="J12" s="88" t="str">
        <f>IF(_Ov_Optometry!J12&lt;&gt;"",_Ov_Optometry!J12,"")</f>
        <v/>
      </c>
      <c r="K12" s="89" t="str">
        <f>IF(_Ov_Optometry!K12&lt;&gt;"",_Ov_Optometry!K12,IFERROR(Optometry!BA12/Optometry!AZ12,""))</f>
        <v/>
      </c>
      <c r="L12" s="90">
        <f>IF(_Ov_Optometry!L12&lt;&gt;"",_Ov_Optometry!L12,SUM(Optometry!L12))</f>
        <v>0</v>
      </c>
      <c r="M12" s="91">
        <f>IF(_Ov_Optometry!M12&lt;&gt;"",_Ov_Optometry!M12,SUM(Optometry!M12))</f>
        <v>0</v>
      </c>
      <c r="N12" s="89" t="str">
        <f>IF(_Ov_Optometry!N12&lt;&gt;"",_Ov_Optometry!N12,"")</f>
        <v/>
      </c>
      <c r="O12" s="91" t="str">
        <f>IF(_Ov_Optometry!O12&lt;&gt;"",_Ov_Optometry!O12,"")</f>
        <v/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4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25">
      <c r="A13" s="1"/>
      <c r="B13" s="62">
        <f>EDATE(DATE(_Setup!$B$4,10,1),ROW()-ROW($B$11))</f>
        <v>45992</v>
      </c>
      <c r="C13" s="81" t="str">
        <f>IF(_Ov_Optometry!C13&lt;&gt;"",_Ov_Optometry!C13,"")</f>
        <v/>
      </c>
      <c r="D13" s="82" t="str">
        <f>IF(_Ov_Optometry!D13&lt;&gt;"",_Ov_Optometry!D13,"")</f>
        <v/>
      </c>
      <c r="E13" s="83" t="str">
        <f t="shared" si="2"/>
        <v/>
      </c>
      <c r="F13" s="84" t="str">
        <f>IF(_Ov_Optometry!F13&lt;&gt;"",_Ov_Optometry!F13,"")</f>
        <v/>
      </c>
      <c r="G13" s="85" t="str">
        <f>IF(_Ov_Optometry!G13&lt;&gt;"",_Ov_Optometry!G13,"")</f>
        <v/>
      </c>
      <c r="H13" s="86" t="str">
        <f t="shared" si="3"/>
        <v/>
      </c>
      <c r="I13" s="87" t="str">
        <f>IF(_Ov_Optometry!I13&lt;&gt;"",_Ov_Optometry!I13,"")</f>
        <v/>
      </c>
      <c r="J13" s="88" t="str">
        <f>IF(_Ov_Optometry!J13&lt;&gt;"",_Ov_Optometry!J13,"")</f>
        <v/>
      </c>
      <c r="K13" s="89" t="str">
        <f>IF(_Ov_Optometry!K13&lt;&gt;"",_Ov_Optometry!K13,IFERROR(Optometry!BA13/Optometry!AZ13,""))</f>
        <v/>
      </c>
      <c r="L13" s="90">
        <f>IF(_Ov_Optometry!L13&lt;&gt;"",_Ov_Optometry!L13,SUM(Optometry!L13))</f>
        <v>0</v>
      </c>
      <c r="M13" s="91">
        <f>IF(_Ov_Optometry!M13&lt;&gt;"",_Ov_Optometry!M13,SUM(Optometry!M13))</f>
        <v>0</v>
      </c>
      <c r="N13" s="89" t="str">
        <f>IF(_Ov_Optometry!N13&lt;&gt;"",_Ov_Optometry!N13,"")</f>
        <v/>
      </c>
      <c r="O13" s="91" t="str">
        <f>IF(_Ov_Optometry!O13&lt;&gt;"",_Ov_Optometry!O13,"")</f>
        <v/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4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25">
      <c r="A14" s="1"/>
      <c r="B14" s="62">
        <f>EDATE(DATE(_Setup!$B$4,10,1),ROW()-ROW($B$11))</f>
        <v>46023</v>
      </c>
      <c r="C14" s="81" t="str">
        <f>IF(_Ov_Optometry!C14&lt;&gt;"",_Ov_Optometry!C14,"")</f>
        <v/>
      </c>
      <c r="D14" s="82" t="str">
        <f>IF(_Ov_Optometry!D14&lt;&gt;"",_Ov_Optometry!D14,"")</f>
        <v/>
      </c>
      <c r="E14" s="83" t="str">
        <f t="shared" si="2"/>
        <v/>
      </c>
      <c r="F14" s="84" t="str">
        <f>IF(_Ov_Optometry!F14&lt;&gt;"",_Ov_Optometry!F14,"")</f>
        <v/>
      </c>
      <c r="G14" s="85" t="str">
        <f>IF(_Ov_Optometry!G14&lt;&gt;"",_Ov_Optometry!G14,"")</f>
        <v/>
      </c>
      <c r="H14" s="86" t="str">
        <f t="shared" si="3"/>
        <v/>
      </c>
      <c r="I14" s="87" t="str">
        <f>IF(_Ov_Optometry!I14&lt;&gt;"",_Ov_Optometry!I14,"")</f>
        <v/>
      </c>
      <c r="J14" s="88" t="str">
        <f>IF(_Ov_Optometry!J14&lt;&gt;"",_Ov_Optometry!J14,"")</f>
        <v/>
      </c>
      <c r="K14" s="89" t="str">
        <f>IF(_Ov_Optometry!K14&lt;&gt;"",_Ov_Optometry!K14,IFERROR(Optometry!BA14/Optometry!AZ14,""))</f>
        <v/>
      </c>
      <c r="L14" s="90">
        <f>IF(_Ov_Optometry!L14&lt;&gt;"",_Ov_Optometry!L14,SUM(Optometry!L14))</f>
        <v>0</v>
      </c>
      <c r="M14" s="91">
        <f>IF(_Ov_Optometry!M14&lt;&gt;"",_Ov_Optometry!M14,SUM(Optometry!M14))</f>
        <v>0</v>
      </c>
      <c r="N14" s="89" t="str">
        <f>IF(_Ov_Optometry!N14&lt;&gt;"",_Ov_Optometry!N14,"")</f>
        <v/>
      </c>
      <c r="O14" s="91" t="str">
        <f>IF(_Ov_Optometry!O14&lt;&gt;"",_Ov_Optometry!O14,"")</f>
        <v/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4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25">
      <c r="A15" s="1"/>
      <c r="B15" s="62">
        <f>EDATE(DATE(_Setup!$B$4,10,1),ROW()-ROW($B$11))</f>
        <v>46054</v>
      </c>
      <c r="C15" s="81" t="str">
        <f>IF(_Ov_Optometry!C15&lt;&gt;"",_Ov_Optometry!C15,"")</f>
        <v/>
      </c>
      <c r="D15" s="82" t="str">
        <f>IF(_Ov_Optometry!D15&lt;&gt;"",_Ov_Optometry!D15,"")</f>
        <v/>
      </c>
      <c r="E15" s="83" t="str">
        <f t="shared" si="2"/>
        <v/>
      </c>
      <c r="F15" s="84" t="str">
        <f>IF(_Ov_Optometry!F15&lt;&gt;"",_Ov_Optometry!F15,"")</f>
        <v/>
      </c>
      <c r="G15" s="85" t="str">
        <f>IF(_Ov_Optometry!G15&lt;&gt;"",_Ov_Optometry!G15,"")</f>
        <v/>
      </c>
      <c r="H15" s="86" t="str">
        <f t="shared" si="3"/>
        <v/>
      </c>
      <c r="I15" s="87" t="str">
        <f>IF(_Ov_Optometry!I15&lt;&gt;"",_Ov_Optometry!I15,"")</f>
        <v/>
      </c>
      <c r="J15" s="88" t="str">
        <f>IF(_Ov_Optometry!J15&lt;&gt;"",_Ov_Optometry!J15,"")</f>
        <v/>
      </c>
      <c r="K15" s="89" t="str">
        <f>IF(_Ov_Optometry!K15&lt;&gt;"",_Ov_Optometry!K15,IFERROR(Optometry!BA15/Optometry!AZ15,""))</f>
        <v/>
      </c>
      <c r="L15" s="90">
        <f>IF(_Ov_Optometry!L15&lt;&gt;"",_Ov_Optometry!L15,SUM(Optometry!L15))</f>
        <v>0</v>
      </c>
      <c r="M15" s="91">
        <f>IF(_Ov_Optometry!M15&lt;&gt;"",_Ov_Optometry!M15,SUM(Optometry!M15))</f>
        <v>0</v>
      </c>
      <c r="N15" s="89" t="str">
        <f>IF(_Ov_Optometry!N15&lt;&gt;"",_Ov_Optometry!N15,"")</f>
        <v/>
      </c>
      <c r="O15" s="91" t="str">
        <f>IF(_Ov_Optometry!O15&lt;&gt;"",_Ov_Optometry!O15,"")</f>
        <v/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4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25">
      <c r="A16" s="1"/>
      <c r="B16" s="62">
        <f>EDATE(DATE(_Setup!$B$4,10,1),ROW()-ROW($B$11))</f>
        <v>46082</v>
      </c>
      <c r="C16" s="81" t="str">
        <f>IF(_Ov_Optometry!C16&lt;&gt;"",_Ov_Optometry!C16,"")</f>
        <v/>
      </c>
      <c r="D16" s="82" t="str">
        <f>IF(_Ov_Optometry!D16&lt;&gt;"",_Ov_Optometry!D16,"")</f>
        <v/>
      </c>
      <c r="E16" s="83" t="str">
        <f t="shared" si="2"/>
        <v/>
      </c>
      <c r="F16" s="84" t="str">
        <f>IF(_Ov_Optometry!F16&lt;&gt;"",_Ov_Optometry!F16,"")</f>
        <v/>
      </c>
      <c r="G16" s="85" t="str">
        <f>IF(_Ov_Optometry!G16&lt;&gt;"",_Ov_Optometry!G16,"")</f>
        <v/>
      </c>
      <c r="H16" s="86" t="str">
        <f t="shared" si="3"/>
        <v/>
      </c>
      <c r="I16" s="87" t="str">
        <f>IF(_Ov_Optometry!I16&lt;&gt;"",_Ov_Optometry!I16,"")</f>
        <v/>
      </c>
      <c r="J16" s="88" t="str">
        <f>IF(_Ov_Optometry!J16&lt;&gt;"",_Ov_Optometry!J16,"")</f>
        <v/>
      </c>
      <c r="K16" s="89" t="str">
        <f>IF(_Ov_Optometry!K16&lt;&gt;"",_Ov_Optometry!K16,IFERROR(Optometry!BA16/Optometry!AZ16,""))</f>
        <v/>
      </c>
      <c r="L16" s="90">
        <f>IF(_Ov_Optometry!L16&lt;&gt;"",_Ov_Optometry!L16,SUM(Optometry!L16))</f>
        <v>0</v>
      </c>
      <c r="M16" s="91">
        <f>IF(_Ov_Optometry!M16&lt;&gt;"",_Ov_Optometry!M16,SUM(Optometry!M16))</f>
        <v>0</v>
      </c>
      <c r="N16" s="89" t="str">
        <f>IF(_Ov_Optometry!N16&lt;&gt;"",_Ov_Optometry!N16,"")</f>
        <v/>
      </c>
      <c r="O16" s="91" t="str">
        <f>IF(_Ov_Optometry!O16&lt;&gt;"",_Ov_Optometry!O16,"")</f>
        <v/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4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25">
      <c r="A17" s="1"/>
      <c r="B17" s="62">
        <f>EDATE(DATE(_Setup!$B$4,10,1),ROW()-ROW($B$11))</f>
        <v>46113</v>
      </c>
      <c r="C17" s="81" t="str">
        <f>IF(_Ov_Optometry!C17&lt;&gt;"",_Ov_Optometry!C17,"")</f>
        <v/>
      </c>
      <c r="D17" s="82" t="str">
        <f>IF(_Ov_Optometry!D17&lt;&gt;"",_Ov_Optometry!D17,"")</f>
        <v/>
      </c>
      <c r="E17" s="83" t="str">
        <f t="shared" si="2"/>
        <v/>
      </c>
      <c r="F17" s="84" t="str">
        <f>IF(_Ov_Optometry!F17&lt;&gt;"",_Ov_Optometry!F17,"")</f>
        <v/>
      </c>
      <c r="G17" s="85" t="str">
        <f>IF(_Ov_Optometry!G17&lt;&gt;"",_Ov_Optometry!G17,"")</f>
        <v/>
      </c>
      <c r="H17" s="86" t="str">
        <f t="shared" si="3"/>
        <v/>
      </c>
      <c r="I17" s="87" t="str">
        <f>IF(_Ov_Optometry!I17&lt;&gt;"",_Ov_Optometry!I17,"")</f>
        <v/>
      </c>
      <c r="J17" s="88" t="str">
        <f>IF(_Ov_Optometry!J17&lt;&gt;"",_Ov_Optometry!J17,"")</f>
        <v/>
      </c>
      <c r="K17" s="89" t="str">
        <f>IF(_Ov_Optometry!K17&lt;&gt;"",_Ov_Optometry!K17,IFERROR(Optometry!BA17/Optometry!AZ17,""))</f>
        <v/>
      </c>
      <c r="L17" s="90">
        <f>IF(_Ov_Optometry!L17&lt;&gt;"",_Ov_Optometry!L17,SUM(Optometry!L17))</f>
        <v>0</v>
      </c>
      <c r="M17" s="91">
        <f>IF(_Ov_Optometry!M17&lt;&gt;"",_Ov_Optometry!M17,SUM(Optometry!M17))</f>
        <v>0</v>
      </c>
      <c r="N17" s="89" t="str">
        <f>IF(_Ov_Optometry!N17&lt;&gt;"",_Ov_Optometry!N17,"")</f>
        <v/>
      </c>
      <c r="O17" s="91" t="str">
        <f>IF(_Ov_Optometry!O17&lt;&gt;"",_Ov_Optometry!O17,"")</f>
        <v/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4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25">
      <c r="A18" s="1"/>
      <c r="B18" s="62">
        <f>EDATE(DATE(_Setup!$B$4,10,1),ROW()-ROW($B$11))</f>
        <v>46143</v>
      </c>
      <c r="C18" s="81" t="str">
        <f>IF(_Ov_Optometry!C18&lt;&gt;"",_Ov_Optometry!C18,"")</f>
        <v/>
      </c>
      <c r="D18" s="82" t="str">
        <f>IF(_Ov_Optometry!D18&lt;&gt;"",_Ov_Optometry!D18,"")</f>
        <v/>
      </c>
      <c r="E18" s="83" t="str">
        <f t="shared" si="2"/>
        <v/>
      </c>
      <c r="F18" s="84" t="str">
        <f>IF(_Ov_Optometry!F18&lt;&gt;"",_Ov_Optometry!F18,"")</f>
        <v/>
      </c>
      <c r="G18" s="85" t="str">
        <f>IF(_Ov_Optometry!G18&lt;&gt;"",_Ov_Optometry!G18,"")</f>
        <v/>
      </c>
      <c r="H18" s="86" t="str">
        <f t="shared" si="3"/>
        <v/>
      </c>
      <c r="I18" s="87" t="str">
        <f>IF(_Ov_Optometry!I18&lt;&gt;"",_Ov_Optometry!I18,"")</f>
        <v/>
      </c>
      <c r="J18" s="88" t="str">
        <f>IF(_Ov_Optometry!J18&lt;&gt;"",_Ov_Optometry!J18,"")</f>
        <v/>
      </c>
      <c r="K18" s="89" t="str">
        <f>IF(_Ov_Optometry!K18&lt;&gt;"",_Ov_Optometry!K18,IFERROR(Optometry!BA18/Optometry!AZ18,""))</f>
        <v/>
      </c>
      <c r="L18" s="90">
        <f>IF(_Ov_Optometry!L18&lt;&gt;"",_Ov_Optometry!L18,SUM(Optometry!L18))</f>
        <v>0</v>
      </c>
      <c r="M18" s="91">
        <f>IF(_Ov_Optometry!M18&lt;&gt;"",_Ov_Optometry!M18,SUM(Optometry!M18))</f>
        <v>0</v>
      </c>
      <c r="N18" s="89" t="str">
        <f>IF(_Ov_Optometry!N18&lt;&gt;"",_Ov_Optometry!N18,"")</f>
        <v/>
      </c>
      <c r="O18" s="91" t="str">
        <f>IF(_Ov_Optometry!O18&lt;&gt;"",_Ov_Optometry!O18,"")</f>
        <v/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4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25">
      <c r="A19" s="1"/>
      <c r="B19" s="62">
        <f>EDATE(DATE(_Setup!$B$4,10,1),ROW()-ROW($B$11))</f>
        <v>46174</v>
      </c>
      <c r="C19" s="81" t="str">
        <f>IF(_Ov_Optometry!C19&lt;&gt;"",_Ov_Optometry!C19,"")</f>
        <v/>
      </c>
      <c r="D19" s="82" t="str">
        <f>IF(_Ov_Optometry!D19&lt;&gt;"",_Ov_Optometry!D19,"")</f>
        <v/>
      </c>
      <c r="E19" s="83" t="str">
        <f t="shared" si="2"/>
        <v/>
      </c>
      <c r="F19" s="84" t="str">
        <f>IF(_Ov_Optometry!F19&lt;&gt;"",_Ov_Optometry!F19,"")</f>
        <v/>
      </c>
      <c r="G19" s="85" t="str">
        <f>IF(_Ov_Optometry!G19&lt;&gt;"",_Ov_Optometry!G19,"")</f>
        <v/>
      </c>
      <c r="H19" s="86" t="str">
        <f t="shared" si="3"/>
        <v/>
      </c>
      <c r="I19" s="87" t="str">
        <f>IF(_Ov_Optometry!I19&lt;&gt;"",_Ov_Optometry!I19,"")</f>
        <v/>
      </c>
      <c r="J19" s="88" t="str">
        <f>IF(_Ov_Optometry!J19&lt;&gt;"",_Ov_Optometry!J19,"")</f>
        <v/>
      </c>
      <c r="K19" s="89" t="str">
        <f>IF(_Ov_Optometry!K19&lt;&gt;"",_Ov_Optometry!K19,IFERROR(Optometry!BA19/Optometry!AZ19,""))</f>
        <v/>
      </c>
      <c r="L19" s="90">
        <f>IF(_Ov_Optometry!L19&lt;&gt;"",_Ov_Optometry!L19,SUM(Optometry!L19))</f>
        <v>0</v>
      </c>
      <c r="M19" s="91">
        <f>IF(_Ov_Optometry!M19&lt;&gt;"",_Ov_Optometry!M19,SUM(Optometry!M19))</f>
        <v>0</v>
      </c>
      <c r="N19" s="89" t="str">
        <f>IF(_Ov_Optometry!N19&lt;&gt;"",_Ov_Optometry!N19,"")</f>
        <v/>
      </c>
      <c r="O19" s="91" t="str">
        <f>IF(_Ov_Optometry!O19&lt;&gt;"",_Ov_Optometry!O19,"")</f>
        <v/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4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25">
      <c r="A20" s="1"/>
      <c r="B20" s="62">
        <f>EDATE(DATE(_Setup!$B$4,10,1),ROW()-ROW($B$11))</f>
        <v>46204</v>
      </c>
      <c r="C20" s="81" t="str">
        <f>IF(_Ov_Optometry!C20&lt;&gt;"",_Ov_Optometry!C20,"")</f>
        <v/>
      </c>
      <c r="D20" s="82" t="str">
        <f>IF(_Ov_Optometry!D20&lt;&gt;"",_Ov_Optometry!D20,"")</f>
        <v/>
      </c>
      <c r="E20" s="83" t="str">
        <f t="shared" si="2"/>
        <v/>
      </c>
      <c r="F20" s="84" t="str">
        <f>IF(_Ov_Optometry!F20&lt;&gt;"",_Ov_Optometry!F20,"")</f>
        <v/>
      </c>
      <c r="G20" s="85" t="str">
        <f>IF(_Ov_Optometry!G20&lt;&gt;"",_Ov_Optometry!G20,"")</f>
        <v/>
      </c>
      <c r="H20" s="86" t="str">
        <f t="shared" si="3"/>
        <v/>
      </c>
      <c r="I20" s="87" t="str">
        <f>IF(_Ov_Optometry!I20&lt;&gt;"",_Ov_Optometry!I20,"")</f>
        <v/>
      </c>
      <c r="J20" s="88" t="str">
        <f>IF(_Ov_Optometry!J20&lt;&gt;"",_Ov_Optometry!J20,"")</f>
        <v/>
      </c>
      <c r="K20" s="89" t="str">
        <f>IF(_Ov_Optometry!K20&lt;&gt;"",_Ov_Optometry!K20,IFERROR(Optometry!BA20/Optometry!AZ20,""))</f>
        <v/>
      </c>
      <c r="L20" s="90">
        <f>IF(_Ov_Optometry!L20&lt;&gt;"",_Ov_Optometry!L20,SUM(Optometry!L20))</f>
        <v>0</v>
      </c>
      <c r="M20" s="91">
        <f>IF(_Ov_Optometry!M20&lt;&gt;"",_Ov_Optometry!M20,SUM(Optometry!M20))</f>
        <v>0</v>
      </c>
      <c r="N20" s="89" t="str">
        <f>IF(_Ov_Optometry!N20&lt;&gt;"",_Ov_Optometry!N20,"")</f>
        <v/>
      </c>
      <c r="O20" s="91" t="str">
        <f>IF(_Ov_Optometry!O20&lt;&gt;"",_Ov_Optometry!O20,"")</f>
        <v/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4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25">
      <c r="A21" s="1"/>
      <c r="B21" s="62">
        <f>EDATE(DATE(_Setup!$B$4,10,1),ROW()-ROW($B$11))</f>
        <v>46235</v>
      </c>
      <c r="C21" s="81" t="str">
        <f>IF(_Ov_Optometry!C21&lt;&gt;"",_Ov_Optometry!C21,"")</f>
        <v/>
      </c>
      <c r="D21" s="82" t="str">
        <f>IF(_Ov_Optometry!D21&lt;&gt;"",_Ov_Optometry!D21,"")</f>
        <v/>
      </c>
      <c r="E21" s="83" t="str">
        <f t="shared" si="2"/>
        <v/>
      </c>
      <c r="F21" s="84" t="str">
        <f>IF(_Ov_Optometry!F21&lt;&gt;"",_Ov_Optometry!F21,"")</f>
        <v/>
      </c>
      <c r="G21" s="85" t="str">
        <f>IF(_Ov_Optometry!G21&lt;&gt;"",_Ov_Optometry!G21,"")</f>
        <v/>
      </c>
      <c r="H21" s="86" t="str">
        <f t="shared" si="3"/>
        <v/>
      </c>
      <c r="I21" s="87" t="str">
        <f>IF(_Ov_Optometry!I21&lt;&gt;"",_Ov_Optometry!I21,"")</f>
        <v/>
      </c>
      <c r="J21" s="88" t="str">
        <f>IF(_Ov_Optometry!J21&lt;&gt;"",_Ov_Optometry!J21,"")</f>
        <v/>
      </c>
      <c r="K21" s="89" t="str">
        <f>IF(_Ov_Optometry!K21&lt;&gt;"",_Ov_Optometry!K21,IFERROR(Optometry!BA21/Optometry!AZ21,""))</f>
        <v/>
      </c>
      <c r="L21" s="90">
        <f>IF(_Ov_Optometry!L21&lt;&gt;"",_Ov_Optometry!L21,SUM(Optometry!L21))</f>
        <v>0</v>
      </c>
      <c r="M21" s="91">
        <f>IF(_Ov_Optometry!M21&lt;&gt;"",_Ov_Optometry!M21,SUM(Optometry!M21))</f>
        <v>0</v>
      </c>
      <c r="N21" s="89" t="str">
        <f>IF(_Ov_Optometry!N21&lt;&gt;"",_Ov_Optometry!N21,"")</f>
        <v/>
      </c>
      <c r="O21" s="91" t="str">
        <f>IF(_Ov_Optometry!O21&lt;&gt;"",_Ov_Optometry!O21,"")</f>
        <v/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4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25">
      <c r="A22" s="1"/>
      <c r="B22" s="62">
        <f>EDATE(DATE(_Setup!$B$4,10,1),ROW()-ROW($B$11))</f>
        <v>46266</v>
      </c>
      <c r="C22" s="100" t="str">
        <f>IF(_Ov_Optometry!C22&lt;&gt;"",_Ov_Optometry!C22,"")</f>
        <v/>
      </c>
      <c r="D22" s="101" t="str">
        <f>IF(_Ov_Optometry!D22&lt;&gt;"",_Ov_Optometry!D22,"")</f>
        <v/>
      </c>
      <c r="E22" s="102" t="str">
        <f t="shared" si="2"/>
        <v/>
      </c>
      <c r="F22" s="103" t="str">
        <f>IF(_Ov_Optometry!F22&lt;&gt;"",_Ov_Optometry!F22,"")</f>
        <v/>
      </c>
      <c r="G22" s="104" t="str">
        <f>IF(_Ov_Optometry!G22&lt;&gt;"",_Ov_Optometry!G22,"")</f>
        <v/>
      </c>
      <c r="H22" s="105" t="str">
        <f t="shared" si="3"/>
        <v/>
      </c>
      <c r="I22" s="106" t="str">
        <f>IF(_Ov_Optometry!I22&lt;&gt;"",_Ov_Optometry!I22,"")</f>
        <v/>
      </c>
      <c r="J22" s="107" t="str">
        <f>IF(_Ov_Optometry!J22&lt;&gt;"",_Ov_Optometry!J22,"")</f>
        <v/>
      </c>
      <c r="K22" s="108" t="str">
        <f>IF(_Ov_Optometry!K22&lt;&gt;"",_Ov_Optometry!K22,IFERROR(Optometry!BA22/Optometry!AZ22,""))</f>
        <v/>
      </c>
      <c r="L22" s="109">
        <f>IF(_Ov_Optometry!L22&lt;&gt;"",_Ov_Optometry!L22,SUM(Optometry!L22))</f>
        <v>0</v>
      </c>
      <c r="M22" s="110">
        <f>IF(_Ov_Optometry!M22&lt;&gt;"",_Ov_Optometry!M22,SUM(Optometry!M22))</f>
        <v>0</v>
      </c>
      <c r="N22" s="108" t="str">
        <f>IF(_Ov_Optometry!N22&lt;&gt;"",_Ov_Optometry!N22,"")</f>
        <v/>
      </c>
      <c r="O22" s="110" t="str">
        <f>IF(_Ov_Optometry!O22&lt;&gt;"",_Ov_Optometry!O22,"")</f>
        <v/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4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25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25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Q74"/>
  <sheetViews>
    <sheetView workbookViewId="0"/>
  </sheetViews>
  <sheetFormatPr defaultRowHeight="15" x14ac:dyDescent="0.25"/>
  <cols>
    <col min="1" max="1" width="10.7109375" customWidth="1"/>
    <col min="14" max="14" width="10.7109375" customWidth="1"/>
    <col min="21" max="21" width="10.7109375" customWidth="1"/>
    <col min="26" max="26" width="10.7109375" customWidth="1"/>
  </cols>
  <sheetData>
    <row r="1" spans="1:43" ht="15" customHeight="1" x14ac:dyDescent="0.25">
      <c r="A1" s="20" t="s">
        <v>158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25">
      <c r="A2" s="20"/>
      <c r="B2" s="128"/>
      <c r="C2" s="252" t="s">
        <v>0</v>
      </c>
      <c r="D2" s="253"/>
      <c r="E2" s="253"/>
      <c r="F2" s="253"/>
      <c r="G2" s="266" t="s">
        <v>1</v>
      </c>
      <c r="H2" s="253"/>
      <c r="I2" s="253"/>
      <c r="J2" s="253"/>
      <c r="K2" s="253"/>
      <c r="L2" s="253"/>
      <c r="M2" s="269" t="s">
        <v>2</v>
      </c>
      <c r="N2" s="253"/>
      <c r="O2" s="253"/>
      <c r="P2" s="265" t="s">
        <v>3</v>
      </c>
      <c r="Q2" s="253"/>
      <c r="R2" s="129"/>
      <c r="S2" s="129"/>
      <c r="T2" s="129"/>
      <c r="U2" s="301"/>
      <c r="V2" s="253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20"/>
      <c r="B3" s="128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129"/>
      <c r="S3" s="129"/>
      <c r="T3" s="129"/>
      <c r="U3" s="253"/>
      <c r="V3" s="253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25">
      <c r="A4" s="20"/>
      <c r="B4" s="128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129"/>
      <c r="S4" s="129"/>
      <c r="T4" s="129"/>
      <c r="U4" s="253"/>
      <c r="V4" s="253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25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22.637499999999999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5</v>
      </c>
      <c r="Q5" s="136">
        <f t="shared" si="0"/>
        <v>0</v>
      </c>
      <c r="R5" s="306" t="s">
        <v>12</v>
      </c>
      <c r="S5" s="303"/>
      <c r="T5" s="304">
        <f>AVERAGE(T11:T12)</f>
        <v>0</v>
      </c>
      <c r="U5" s="137"/>
      <c r="V5" s="304">
        <f>AVERAGE(V11:V12)</f>
        <v>1.375</v>
      </c>
      <c r="W5" s="130"/>
      <c r="X5" s="304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25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7"/>
      <c r="S6" s="303"/>
      <c r="T6" s="305"/>
      <c r="U6" s="137"/>
      <c r="V6" s="305"/>
      <c r="W6" s="130"/>
      <c r="X6" s="305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25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2" t="s">
        <v>14</v>
      </c>
      <c r="S7" s="30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25">
      <c r="A8" s="20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5" t="s">
        <v>21</v>
      </c>
      <c r="L8" s="255" t="s">
        <v>22</v>
      </c>
      <c r="M8" s="257" t="s">
        <v>23</v>
      </c>
      <c r="N8" s="263" t="s">
        <v>24</v>
      </c>
      <c r="O8" s="271" t="s">
        <v>25</v>
      </c>
      <c r="P8" s="264" t="s">
        <v>26</v>
      </c>
      <c r="Q8" s="270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8" t="s">
        <v>147</v>
      </c>
      <c r="X8" s="253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25">
      <c r="A9" s="20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147"/>
      <c r="W9" s="253"/>
      <c r="X9" s="253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25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3"/>
      <c r="X10" s="253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25">
      <c r="A11" s="20"/>
      <c r="B11" s="62">
        <f>EDATE(DATE(_Setup!$B$4,10,1),ROW()-ROW($B$11))</f>
        <v>45931</v>
      </c>
      <c r="C11" s="63">
        <f>IF(_Ov_Ophthalmology!C11&lt;&gt;"",_Ov_Ophthalmology!C11,SUM(Nursing!C11))</f>
        <v>0</v>
      </c>
      <c r="D11" s="64">
        <f>IF(_Ov_Ophthalmology!D11&lt;&gt;"",_Ov_Ophthalmology!D11,SUM(Nursing!D11))</f>
        <v>0</v>
      </c>
      <c r="E11" s="65" t="str">
        <f t="shared" ref="E11:E22" si="1">IFERROR(D11/C11,"")</f>
        <v/>
      </c>
      <c r="F11" s="66">
        <f>IF(_Ov_Ophthalmology!F11&lt;&gt;"",_Ov_Ophthalmology!F11,SUM(Nursing!F11))</f>
        <v>0</v>
      </c>
      <c r="G11" s="67">
        <f>IF(_Ov_Ophthalmology!G11&lt;&gt;"",_Ov_Ophthalmology!G11,SUM(Nursing!G11))</f>
        <v>0</v>
      </c>
      <c r="H11" s="150" t="str">
        <f t="shared" ref="H11:H22" si="2">IFERROR(G11/F11,"")</f>
        <v/>
      </c>
      <c r="I11" s="151">
        <f>IF(_Ov_Ophthalmology!I11&lt;&gt;"",_Ov_Ophthalmology!I11,SUM(Nursing!I11))</f>
        <v>0</v>
      </c>
      <c r="J11" s="151">
        <f>IF(_Ov_Ophthalmology!J11&lt;&gt;"",_Ov_Ophthalmology!J11,SUM(Nursing!J11))</f>
        <v>34.75</v>
      </c>
      <c r="K11" s="151" t="str">
        <f>IF(_Ov_Ophthalmology!K11&lt;&gt;"",_Ov_Ophthalmology!K11,IFERROR(Nursing!BA11/Nursing!AZ11,""))</f>
        <v/>
      </c>
      <c r="L11" s="73">
        <f>IF(_Ov_Ophthalmology!L11&lt;&gt;"",_Ov_Ophthalmology!L11,SUM(Nursing!L11))</f>
        <v>0</v>
      </c>
      <c r="M11" s="71">
        <f>IF(_Ov_Ophthalmology!M11&lt;&gt;"",_Ov_Ophthalmology!M11,SUM(Nursing!M11))</f>
        <v>0</v>
      </c>
      <c r="N11" s="71">
        <f>IF(_Ov_Ophthalmology!N11&lt;&gt;"",_Ov_Ophthalmology!N11,SUM(Nursing!N11))</f>
        <v>0</v>
      </c>
      <c r="O11" s="73">
        <f>IF(_Ov_Ophthalmology!O11&lt;&gt;"",_Ov_Ophthalmology!O11,SUM(Nursing!O11))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3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25">
      <c r="A12" s="20"/>
      <c r="B12" s="62">
        <f>EDATE(DATE(_Setup!$B$4,10,1),ROW()-ROW($B$11))</f>
        <v>45962</v>
      </c>
      <c r="C12" s="81">
        <f>IF(_Ov_Ophthalmology!C12&lt;&gt;"",_Ov_Ophthalmology!C12,SUM(Nursing!C12))</f>
        <v>0</v>
      </c>
      <c r="D12" s="82">
        <f>IF(_Ov_Ophthalmology!D12&lt;&gt;"",_Ov_Ophthalmology!D12,SUM(Nursing!D12))</f>
        <v>0</v>
      </c>
      <c r="E12" s="83" t="str">
        <f t="shared" si="1"/>
        <v/>
      </c>
      <c r="F12" s="84">
        <f>IF(_Ov_Ophthalmology!F12&lt;&gt;"",_Ov_Ophthalmology!F12,SUM(Nursing!F12))</f>
        <v>0</v>
      </c>
      <c r="G12" s="85">
        <f>IF(_Ov_Ophthalmology!G12&lt;&gt;"",_Ov_Ophthalmology!G12,SUM(Nursing!G12))</f>
        <v>0</v>
      </c>
      <c r="H12" s="157" t="str">
        <f t="shared" si="2"/>
        <v/>
      </c>
      <c r="I12" s="154">
        <f>IF(_Ov_Ophthalmology!I12&lt;&gt;"",_Ov_Ophthalmology!I12,SUM(Nursing!I12))</f>
        <v>0</v>
      </c>
      <c r="J12" s="154">
        <f>IF(_Ov_Ophthalmology!J12&lt;&gt;"",_Ov_Ophthalmology!J12,SUM(Nursing!J12))</f>
        <v>38</v>
      </c>
      <c r="K12" s="154" t="str">
        <f>IF(_Ov_Ophthalmology!K12&lt;&gt;"",_Ov_Ophthalmology!K12,IFERROR(Nursing!BA12/Nursing!AZ12,""))</f>
        <v/>
      </c>
      <c r="L12" s="91">
        <f>IF(_Ov_Ophthalmology!L12&lt;&gt;"",_Ov_Ophthalmology!L12,SUM(Nursing!L12))</f>
        <v>0</v>
      </c>
      <c r="M12" s="89">
        <f>IF(_Ov_Ophthalmology!M12&lt;&gt;"",_Ov_Ophthalmology!M12,SUM(Nursing!M12))</f>
        <v>0</v>
      </c>
      <c r="N12" s="89">
        <f>IF(_Ov_Ophthalmology!N12&lt;&gt;"",_Ov_Ophthalmology!N12,SUM(Nursing!N12))</f>
        <v>0</v>
      </c>
      <c r="O12" s="91">
        <f>IF(_Ov_Ophthalmology!O12&lt;&gt;"",_Ov_Ophthalmology!O12,SUM(Nursing!O12))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3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25">
      <c r="A13" s="20"/>
      <c r="B13" s="62">
        <f>EDATE(DATE(_Setup!$B$4,10,1),ROW()-ROW($B$11))</f>
        <v>45992</v>
      </c>
      <c r="C13" s="81">
        <f>IF(_Ov_Ophthalmology!C13&lt;&gt;"",_Ov_Ophthalmology!C13,SUM(Nursing!C13))</f>
        <v>0</v>
      </c>
      <c r="D13" s="82">
        <f>IF(_Ov_Ophthalmology!D13&lt;&gt;"",_Ov_Ophthalmology!D13,SUM(Nursing!D13))</f>
        <v>0</v>
      </c>
      <c r="E13" s="83" t="str">
        <f t="shared" si="1"/>
        <v/>
      </c>
      <c r="F13" s="84">
        <f>IF(_Ov_Ophthalmology!F13&lt;&gt;"",_Ov_Ophthalmology!F13,SUM(Nursing!F13))</f>
        <v>0</v>
      </c>
      <c r="G13" s="85">
        <f>IF(_Ov_Ophthalmology!G13&lt;&gt;"",_Ov_Ophthalmology!G13,SUM(Nursing!G13))</f>
        <v>0</v>
      </c>
      <c r="H13" s="157" t="str">
        <f t="shared" si="2"/>
        <v/>
      </c>
      <c r="I13" s="154">
        <f>IF(_Ov_Ophthalmology!I13&lt;&gt;"",_Ov_Ophthalmology!I13,SUM(Nursing!I13))</f>
        <v>0</v>
      </c>
      <c r="J13" s="154">
        <f>IF(_Ov_Ophthalmology!J13&lt;&gt;"",_Ov_Ophthalmology!J13,SUM(Nursing!J13))</f>
        <v>10.5</v>
      </c>
      <c r="K13" s="154" t="str">
        <f>IF(_Ov_Ophthalmology!K13&lt;&gt;"",_Ov_Ophthalmology!K13,IFERROR(Nursing!BA13/Nursing!AZ13,""))</f>
        <v/>
      </c>
      <c r="L13" s="91">
        <f>IF(_Ov_Ophthalmology!L13&lt;&gt;"",_Ov_Ophthalmology!L13,SUM(Nursing!L13))</f>
        <v>0</v>
      </c>
      <c r="M13" s="89">
        <f>IF(_Ov_Ophthalmology!M13&lt;&gt;"",_Ov_Ophthalmology!M13,SUM(Nursing!M13))</f>
        <v>0</v>
      </c>
      <c r="N13" s="89">
        <f>IF(_Ov_Ophthalmology!N13&lt;&gt;"",_Ov_Ophthalmology!N13,SUM(Nursing!N13))</f>
        <v>0</v>
      </c>
      <c r="O13" s="91">
        <f>IF(_Ov_Ophthalmology!O13&lt;&gt;"",_Ov_Ophthalmology!O13,SUM(Nursing!O13))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3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25">
      <c r="A14" s="20"/>
      <c r="B14" s="62">
        <f>EDATE(DATE(_Setup!$B$4,10,1),ROW()-ROW($B$11))</f>
        <v>46023</v>
      </c>
      <c r="C14" s="81">
        <f>IF(_Ov_Ophthalmology!C14&lt;&gt;"",_Ov_Ophthalmology!C14,SUM(Nursing!C14))</f>
        <v>0</v>
      </c>
      <c r="D14" s="82">
        <f>IF(_Ov_Ophthalmology!D14&lt;&gt;"",_Ov_Ophthalmology!D14,SUM(Nursing!D14))</f>
        <v>0</v>
      </c>
      <c r="E14" s="83" t="str">
        <f t="shared" si="1"/>
        <v/>
      </c>
      <c r="F14" s="84">
        <f>IF(_Ov_Ophthalmology!F14&lt;&gt;"",_Ov_Ophthalmology!F14,SUM(Nursing!F14))</f>
        <v>0</v>
      </c>
      <c r="G14" s="85">
        <f>IF(_Ov_Ophthalmology!G14&lt;&gt;"",_Ov_Ophthalmology!G14,SUM(Nursing!G14))</f>
        <v>0</v>
      </c>
      <c r="H14" s="157" t="str">
        <f t="shared" si="2"/>
        <v/>
      </c>
      <c r="I14" s="154">
        <f>IF(_Ov_Ophthalmology!I14&lt;&gt;"",_Ov_Ophthalmology!I14,SUM(Nursing!I14))</f>
        <v>0</v>
      </c>
      <c r="J14" s="154">
        <f>IF(_Ov_Ophthalmology!J14&lt;&gt;"",_Ov_Ophthalmology!J14,SUM(Nursing!J14))</f>
        <v>0</v>
      </c>
      <c r="K14" s="154" t="str">
        <f>IF(_Ov_Ophthalmology!K14&lt;&gt;"",_Ov_Ophthalmology!K14,IFERROR(Nursing!BA14/Nursing!AZ14,""))</f>
        <v/>
      </c>
      <c r="L14" s="91">
        <f>IF(_Ov_Ophthalmology!L14&lt;&gt;"",_Ov_Ophthalmology!L14,SUM(Nursing!L14))</f>
        <v>0</v>
      </c>
      <c r="M14" s="89">
        <f>IF(_Ov_Ophthalmology!M14&lt;&gt;"",_Ov_Ophthalmology!M14,SUM(Nursing!M14))</f>
        <v>0</v>
      </c>
      <c r="N14" s="89">
        <f>IF(_Ov_Ophthalmology!N14&lt;&gt;"",_Ov_Ophthalmology!N14,SUM(Nursing!N14))</f>
        <v>0</v>
      </c>
      <c r="O14" s="91">
        <f>IF(_Ov_Ophthalmology!O14&lt;&gt;"",_Ov_Ophthalmology!O14,SUM(Nursing!O14))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3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25">
      <c r="A15" s="20"/>
      <c r="B15" s="62">
        <f>EDATE(DATE(_Setup!$B$4,10,1),ROW()-ROW($B$11))</f>
        <v>46054</v>
      </c>
      <c r="C15" s="81">
        <f>IF(_Ov_Ophthalmology!C15&lt;&gt;"",_Ov_Ophthalmology!C15,SUM(Nursing!C15))</f>
        <v>0</v>
      </c>
      <c r="D15" s="82">
        <f>IF(_Ov_Ophthalmology!D15&lt;&gt;"",_Ov_Ophthalmology!D15,SUM(Nursing!D15))</f>
        <v>0</v>
      </c>
      <c r="E15" s="83" t="str">
        <f t="shared" si="1"/>
        <v/>
      </c>
      <c r="F15" s="84">
        <f>IF(_Ov_Ophthalmology!F15&lt;&gt;"",_Ov_Ophthalmology!F15,SUM(Nursing!F15))</f>
        <v>0</v>
      </c>
      <c r="G15" s="85">
        <f>IF(_Ov_Ophthalmology!G15&lt;&gt;"",_Ov_Ophthalmology!G15,SUM(Nursing!G15))</f>
        <v>0</v>
      </c>
      <c r="H15" s="157" t="str">
        <f t="shared" si="2"/>
        <v/>
      </c>
      <c r="I15" s="154">
        <f>IF(_Ov_Ophthalmology!I15&lt;&gt;"",_Ov_Ophthalmology!I15,SUM(Nursing!I15))</f>
        <v>0</v>
      </c>
      <c r="J15" s="154">
        <f>IF(_Ov_Ophthalmology!J15&lt;&gt;"",_Ov_Ophthalmology!J15,SUM(Nursing!J15))</f>
        <v>30.75</v>
      </c>
      <c r="K15" s="154" t="str">
        <f>IF(_Ov_Ophthalmology!K15&lt;&gt;"",_Ov_Ophthalmology!K15,IFERROR(Nursing!BA15/Nursing!AZ15,""))</f>
        <v/>
      </c>
      <c r="L15" s="91">
        <f>IF(_Ov_Ophthalmology!L15&lt;&gt;"",_Ov_Ophthalmology!L15,SUM(Nursing!L15))</f>
        <v>0</v>
      </c>
      <c r="M15" s="89">
        <f>IF(_Ov_Ophthalmology!M15&lt;&gt;"",_Ov_Ophthalmology!M15,SUM(Nursing!M15))</f>
        <v>0</v>
      </c>
      <c r="N15" s="89">
        <f>IF(_Ov_Ophthalmology!N15&lt;&gt;"",_Ov_Ophthalmology!N15,SUM(Nursing!N15))</f>
        <v>0</v>
      </c>
      <c r="O15" s="91">
        <f>IF(_Ov_Ophthalmology!O15&lt;&gt;"",_Ov_Ophthalmology!O15,SUM(Nursing!O15))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3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25">
      <c r="A16" s="20"/>
      <c r="B16" s="62">
        <f>EDATE(DATE(_Setup!$B$4,10,1),ROW()-ROW($B$11))</f>
        <v>46082</v>
      </c>
      <c r="C16" s="81">
        <f>IF(_Ov_Ophthalmology!C16&lt;&gt;"",_Ov_Ophthalmology!C16,SUM(Nursing!C16))</f>
        <v>0</v>
      </c>
      <c r="D16" s="82">
        <f>IF(_Ov_Ophthalmology!D16&lt;&gt;"",_Ov_Ophthalmology!D16,SUM(Nursing!D16))</f>
        <v>0</v>
      </c>
      <c r="E16" s="83" t="str">
        <f t="shared" si="1"/>
        <v/>
      </c>
      <c r="F16" s="84">
        <f>IF(_Ov_Ophthalmology!F16&lt;&gt;"",_Ov_Ophthalmology!F16,SUM(Nursing!F16))</f>
        <v>0</v>
      </c>
      <c r="G16" s="85">
        <f>IF(_Ov_Ophthalmology!G16&lt;&gt;"",_Ov_Ophthalmology!G16,SUM(Nursing!G16))</f>
        <v>0</v>
      </c>
      <c r="H16" s="157" t="str">
        <f t="shared" si="2"/>
        <v/>
      </c>
      <c r="I16" s="154">
        <f>IF(_Ov_Ophthalmology!I16&lt;&gt;"",_Ov_Ophthalmology!I16,SUM(Nursing!I16))</f>
        <v>0</v>
      </c>
      <c r="J16" s="154">
        <f>IF(_Ov_Ophthalmology!J16&lt;&gt;"",_Ov_Ophthalmology!J16,SUM(Nursing!J16))</f>
        <v>45.5</v>
      </c>
      <c r="K16" s="154" t="str">
        <f>IF(_Ov_Ophthalmology!K16&lt;&gt;"",_Ov_Ophthalmology!K16,IFERROR(Nursing!BA16/Nursing!AZ16,""))</f>
        <v/>
      </c>
      <c r="L16" s="91">
        <f>IF(_Ov_Ophthalmology!L16&lt;&gt;"",_Ov_Ophthalmology!L16,SUM(Nursing!L16))</f>
        <v>0</v>
      </c>
      <c r="M16" s="89">
        <f>IF(_Ov_Ophthalmology!M16&lt;&gt;"",_Ov_Ophthalmology!M16,SUM(Nursing!M16))</f>
        <v>0</v>
      </c>
      <c r="N16" s="89">
        <f>IF(_Ov_Ophthalmology!N16&lt;&gt;"",_Ov_Ophthalmology!N16,SUM(Nursing!N16))</f>
        <v>0</v>
      </c>
      <c r="O16" s="91">
        <f>IF(_Ov_Ophthalmology!O16&lt;&gt;"",_Ov_Ophthalmology!O16,SUM(Nursing!O16))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3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25">
      <c r="A17" s="20"/>
      <c r="B17" s="62">
        <f>EDATE(DATE(_Setup!$B$4,10,1),ROW()-ROW($B$11))</f>
        <v>46113</v>
      </c>
      <c r="C17" s="81">
        <f>IF(_Ov_Ophthalmology!C17&lt;&gt;"",_Ov_Ophthalmology!C17,SUM(Nursing!C17))</f>
        <v>0</v>
      </c>
      <c r="D17" s="82">
        <f>IF(_Ov_Ophthalmology!D17&lt;&gt;"",_Ov_Ophthalmology!D17,SUM(Nursing!D17))</f>
        <v>0</v>
      </c>
      <c r="E17" s="83" t="str">
        <f t="shared" si="1"/>
        <v/>
      </c>
      <c r="F17" s="84">
        <f>IF(_Ov_Ophthalmology!F17&lt;&gt;"",_Ov_Ophthalmology!F17,SUM(Nursing!F17))</f>
        <v>0</v>
      </c>
      <c r="G17" s="85">
        <f>IF(_Ov_Ophthalmology!G17&lt;&gt;"",_Ov_Ophthalmology!G17,SUM(Nursing!G17))</f>
        <v>0</v>
      </c>
      <c r="H17" s="157" t="str">
        <f t="shared" si="2"/>
        <v/>
      </c>
      <c r="I17" s="154">
        <f>IF(_Ov_Ophthalmology!I17&lt;&gt;"",_Ov_Ophthalmology!I17,SUM(Nursing!I17))</f>
        <v>0</v>
      </c>
      <c r="J17" s="154">
        <f>IF(_Ov_Ophthalmology!J17&lt;&gt;"",_Ov_Ophthalmology!J17,SUM(Nursing!J17))</f>
        <v>40.5</v>
      </c>
      <c r="K17" s="154" t="str">
        <f>IF(_Ov_Ophthalmology!K17&lt;&gt;"",_Ov_Ophthalmology!K17,IFERROR(Nursing!BA17/Nursing!AZ17,""))</f>
        <v/>
      </c>
      <c r="L17" s="91">
        <f>IF(_Ov_Ophthalmology!L17&lt;&gt;"",_Ov_Ophthalmology!L17,SUM(Nursing!L17))</f>
        <v>0</v>
      </c>
      <c r="M17" s="89">
        <f>IF(_Ov_Ophthalmology!M17&lt;&gt;"",_Ov_Ophthalmology!M17,SUM(Nursing!M17))</f>
        <v>0</v>
      </c>
      <c r="N17" s="89">
        <f>IF(_Ov_Ophthalmology!N17&lt;&gt;"",_Ov_Ophthalmology!N17,SUM(Nursing!N17))</f>
        <v>0</v>
      </c>
      <c r="O17" s="91">
        <f>IF(_Ov_Ophthalmology!O17&lt;&gt;"",_Ov_Ophthalmology!O17,SUM(Nursing!O17))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3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25">
      <c r="A18" s="20"/>
      <c r="B18" s="62">
        <f>EDATE(DATE(_Setup!$B$4,10,1),ROW()-ROW($B$11))</f>
        <v>46143</v>
      </c>
      <c r="C18" s="81">
        <f>IF(_Ov_Ophthalmology!C18&lt;&gt;"",_Ov_Ophthalmology!C18,SUM(Nursing!C18))</f>
        <v>0</v>
      </c>
      <c r="D18" s="82">
        <f>IF(_Ov_Ophthalmology!D18&lt;&gt;"",_Ov_Ophthalmology!D18,SUM(Nursing!D18))</f>
        <v>0</v>
      </c>
      <c r="E18" s="83" t="str">
        <f t="shared" si="1"/>
        <v/>
      </c>
      <c r="F18" s="84">
        <f>IF(_Ov_Ophthalmology!F18&lt;&gt;"",_Ov_Ophthalmology!F18,SUM(Nursing!F18))</f>
        <v>0</v>
      </c>
      <c r="G18" s="85">
        <f>IF(_Ov_Ophthalmology!G18&lt;&gt;"",_Ov_Ophthalmology!G18,SUM(Nursing!G18))</f>
        <v>0</v>
      </c>
      <c r="H18" s="157" t="str">
        <f t="shared" si="2"/>
        <v/>
      </c>
      <c r="I18" s="154">
        <f>IF(_Ov_Ophthalmology!I18&lt;&gt;"",_Ov_Ophthalmology!I18,SUM(Nursing!I18))</f>
        <v>0</v>
      </c>
      <c r="J18" s="154">
        <f>IF(_Ov_Ophthalmology!J18&lt;&gt;"",_Ov_Ophthalmology!J18,SUM(Nursing!J18))</f>
        <v>71.650000000000006</v>
      </c>
      <c r="K18" s="154" t="str">
        <f>IF(_Ov_Ophthalmology!K18&lt;&gt;"",_Ov_Ophthalmology!K18,IFERROR(Nursing!BA18/Nursing!AZ18,""))</f>
        <v/>
      </c>
      <c r="L18" s="91">
        <f>IF(_Ov_Ophthalmology!L18&lt;&gt;"",_Ov_Ophthalmology!L18,SUM(Nursing!L18))</f>
        <v>0</v>
      </c>
      <c r="M18" s="89">
        <f>IF(_Ov_Ophthalmology!M18&lt;&gt;"",_Ov_Ophthalmology!M18,SUM(Nursing!M18))</f>
        <v>0</v>
      </c>
      <c r="N18" s="89">
        <f>IF(_Ov_Ophthalmology!N18&lt;&gt;"",_Ov_Ophthalmology!N18,SUM(Nursing!N18))</f>
        <v>0</v>
      </c>
      <c r="O18" s="91">
        <f>IF(_Ov_Ophthalmology!O18&lt;&gt;"",_Ov_Ophthalmology!O18,SUM(Nursing!O18))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3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25">
      <c r="A19" s="20"/>
      <c r="B19" s="62">
        <f>EDATE(DATE(_Setup!$B$4,10,1),ROW()-ROW($B$11))</f>
        <v>46174</v>
      </c>
      <c r="C19" s="81">
        <f>IF(_Ov_Ophthalmology!C19&lt;&gt;"",_Ov_Ophthalmology!C19,SUM(Nursing!C19))</f>
        <v>0</v>
      </c>
      <c r="D19" s="82">
        <f>IF(_Ov_Ophthalmology!D19&lt;&gt;"",_Ov_Ophthalmology!D19,SUM(Nursing!D19))</f>
        <v>0</v>
      </c>
      <c r="E19" s="83" t="str">
        <f t="shared" si="1"/>
        <v/>
      </c>
      <c r="F19" s="84">
        <f>IF(_Ov_Ophthalmology!F19&lt;&gt;"",_Ov_Ophthalmology!F19,SUM(Nursing!F19))</f>
        <v>0</v>
      </c>
      <c r="G19" s="85">
        <f>IF(_Ov_Ophthalmology!G19&lt;&gt;"",_Ov_Ophthalmology!G19,SUM(Nursing!G19))</f>
        <v>0</v>
      </c>
      <c r="H19" s="157" t="str">
        <f t="shared" si="2"/>
        <v/>
      </c>
      <c r="I19" s="154">
        <f>IF(_Ov_Ophthalmology!I19&lt;&gt;"",_Ov_Ophthalmology!I19,SUM(Nursing!I19))</f>
        <v>0</v>
      </c>
      <c r="J19" s="154">
        <f>IF(_Ov_Ophthalmology!J19&lt;&gt;"",_Ov_Ophthalmology!J19,SUM(Nursing!J19))</f>
        <v>0</v>
      </c>
      <c r="K19" s="154" t="str">
        <f>IF(_Ov_Ophthalmology!K19&lt;&gt;"",_Ov_Ophthalmology!K19,IFERROR(Nursing!BA19/Nursing!AZ19,""))</f>
        <v/>
      </c>
      <c r="L19" s="91">
        <f>IF(_Ov_Ophthalmology!L19&lt;&gt;"",_Ov_Ophthalmology!L19,SUM(Nursing!L19))</f>
        <v>0</v>
      </c>
      <c r="M19" s="89">
        <f>IF(_Ov_Ophthalmology!M19&lt;&gt;"",_Ov_Ophthalmology!M19,SUM(Nursing!M19))</f>
        <v>0</v>
      </c>
      <c r="N19" s="89">
        <f>IF(_Ov_Ophthalmology!N19&lt;&gt;"",_Ov_Ophthalmology!N19,SUM(Nursing!N19))</f>
        <v>0</v>
      </c>
      <c r="O19" s="91">
        <f>IF(_Ov_Ophthalmology!O19&lt;&gt;"",_Ov_Ophthalmology!O19,SUM(Nursing!O19))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3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25">
      <c r="A20" s="20"/>
      <c r="B20" s="62">
        <f>EDATE(DATE(_Setup!$B$4,10,1),ROW()-ROW($B$11))</f>
        <v>46204</v>
      </c>
      <c r="C20" s="81">
        <f>IF(_Ov_Ophthalmology!C20&lt;&gt;"",_Ov_Ophthalmology!C20,SUM(Nursing!C20))</f>
        <v>0</v>
      </c>
      <c r="D20" s="82">
        <f>IF(_Ov_Ophthalmology!D20&lt;&gt;"",_Ov_Ophthalmology!D20,SUM(Nursing!D20))</f>
        <v>0</v>
      </c>
      <c r="E20" s="83" t="str">
        <f t="shared" si="1"/>
        <v/>
      </c>
      <c r="F20" s="84">
        <f>IF(_Ov_Ophthalmology!F20&lt;&gt;"",_Ov_Ophthalmology!F20,SUM(Nursing!F20))</f>
        <v>0</v>
      </c>
      <c r="G20" s="85">
        <f>IF(_Ov_Ophthalmology!G20&lt;&gt;"",_Ov_Ophthalmology!G20,SUM(Nursing!G20))</f>
        <v>0</v>
      </c>
      <c r="H20" s="157" t="str">
        <f t="shared" si="2"/>
        <v/>
      </c>
      <c r="I20" s="154">
        <f>IF(_Ov_Ophthalmology!I20&lt;&gt;"",_Ov_Ophthalmology!I20,SUM(Nursing!I20))</f>
        <v>0</v>
      </c>
      <c r="J20" s="154">
        <f>IF(_Ov_Ophthalmology!J20&lt;&gt;"",_Ov_Ophthalmology!J20,SUM(Nursing!J20))</f>
        <v>0</v>
      </c>
      <c r="K20" s="154" t="str">
        <f>IF(_Ov_Ophthalmology!K20&lt;&gt;"",_Ov_Ophthalmology!K20,IFERROR(Nursing!BA20/Nursing!AZ20,""))</f>
        <v/>
      </c>
      <c r="L20" s="91">
        <f>IF(_Ov_Ophthalmology!L20&lt;&gt;"",_Ov_Ophthalmology!L20,SUM(Nursing!L20))</f>
        <v>0</v>
      </c>
      <c r="M20" s="89">
        <f>IF(_Ov_Ophthalmology!M20&lt;&gt;"",_Ov_Ophthalmology!M20,SUM(Nursing!M20))</f>
        <v>0</v>
      </c>
      <c r="N20" s="89">
        <f>IF(_Ov_Ophthalmology!N20&lt;&gt;"",_Ov_Ophthalmology!N20,SUM(Nursing!N20))</f>
        <v>0</v>
      </c>
      <c r="O20" s="91">
        <f>IF(_Ov_Ophthalmology!O20&lt;&gt;"",_Ov_Ophthalmology!O20,SUM(Nursing!O20))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25">
      <c r="A21" s="20"/>
      <c r="B21" s="62">
        <f>EDATE(DATE(_Setup!$B$4,10,1),ROW()-ROW($B$11))</f>
        <v>46235</v>
      </c>
      <c r="C21" s="81">
        <f>IF(_Ov_Ophthalmology!C21&lt;&gt;"",_Ov_Ophthalmology!C21,SUM(Nursing!C21))</f>
        <v>0</v>
      </c>
      <c r="D21" s="82">
        <f>IF(_Ov_Ophthalmology!D21&lt;&gt;"",_Ov_Ophthalmology!D21,SUM(Nursing!D21))</f>
        <v>0</v>
      </c>
      <c r="E21" s="83" t="str">
        <f t="shared" si="1"/>
        <v/>
      </c>
      <c r="F21" s="84">
        <f>IF(_Ov_Ophthalmology!F21&lt;&gt;"",_Ov_Ophthalmology!F21,SUM(Nursing!F21))</f>
        <v>0</v>
      </c>
      <c r="G21" s="85">
        <f>IF(_Ov_Ophthalmology!G21&lt;&gt;"",_Ov_Ophthalmology!G21,SUM(Nursing!G21))</f>
        <v>0</v>
      </c>
      <c r="H21" s="157" t="str">
        <f t="shared" si="2"/>
        <v/>
      </c>
      <c r="I21" s="154">
        <f>IF(_Ov_Ophthalmology!I21&lt;&gt;"",_Ov_Ophthalmology!I21,SUM(Nursing!I21))</f>
        <v>0</v>
      </c>
      <c r="J21" s="154">
        <f>IF(_Ov_Ophthalmology!J21&lt;&gt;"",_Ov_Ophthalmology!J21,SUM(Nursing!J21))</f>
        <v>0</v>
      </c>
      <c r="K21" s="154" t="str">
        <f>IF(_Ov_Ophthalmology!K21&lt;&gt;"",_Ov_Ophthalmology!K21,IFERROR(Nursing!BA21/Nursing!AZ21,""))</f>
        <v/>
      </c>
      <c r="L21" s="91">
        <f>IF(_Ov_Ophthalmology!L21&lt;&gt;"",_Ov_Ophthalmology!L21,SUM(Nursing!L21))</f>
        <v>0</v>
      </c>
      <c r="M21" s="89">
        <f>IF(_Ov_Ophthalmology!M21&lt;&gt;"",_Ov_Ophthalmology!M21,SUM(Nursing!M21))</f>
        <v>0</v>
      </c>
      <c r="N21" s="89">
        <f>IF(_Ov_Ophthalmology!N21&lt;&gt;"",_Ov_Ophthalmology!N21,SUM(Nursing!N21))</f>
        <v>0</v>
      </c>
      <c r="O21" s="91">
        <f>IF(_Ov_Ophthalmology!O21&lt;&gt;"",_Ov_Ophthalmology!O21,SUM(Nursing!O21))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25">
      <c r="A22" s="20"/>
      <c r="B22" s="62">
        <f>EDATE(DATE(_Setup!$B$4,10,1),ROW()-ROW($B$11))</f>
        <v>46266</v>
      </c>
      <c r="C22" s="100">
        <f>IF(_Ov_Ophthalmology!C22&lt;&gt;"",_Ov_Ophthalmology!C22,SUM(Nursing!C22))</f>
        <v>0</v>
      </c>
      <c r="D22" s="101">
        <f>IF(_Ov_Ophthalmology!D22&lt;&gt;"",_Ov_Ophthalmology!D22,SUM(Nursing!D22))</f>
        <v>0</v>
      </c>
      <c r="E22" s="102" t="str">
        <f t="shared" si="1"/>
        <v/>
      </c>
      <c r="F22" s="103">
        <f>IF(_Ov_Ophthalmology!F22&lt;&gt;"",_Ov_Ophthalmology!F22,SUM(Nursing!F22))</f>
        <v>0</v>
      </c>
      <c r="G22" s="104">
        <f>IF(_Ov_Ophthalmology!G22&lt;&gt;"",_Ov_Ophthalmology!G22,SUM(Nursing!G22))</f>
        <v>0</v>
      </c>
      <c r="H22" s="161" t="str">
        <f t="shared" si="2"/>
        <v/>
      </c>
      <c r="I22" s="162">
        <f>IF(_Ov_Ophthalmology!I22&lt;&gt;"",_Ov_Ophthalmology!I22,SUM(Nursing!I22))</f>
        <v>0</v>
      </c>
      <c r="J22" s="162">
        <f>IF(_Ov_Ophthalmology!J22&lt;&gt;"",_Ov_Ophthalmology!J22,SUM(Nursing!J22))</f>
        <v>0</v>
      </c>
      <c r="K22" s="162" t="str">
        <f>IF(_Ov_Ophthalmology!K22&lt;&gt;"",_Ov_Ophthalmology!K22,IFERROR(Nursing!BA22/Nursing!AZ22,""))</f>
        <v/>
      </c>
      <c r="L22" s="110">
        <f>IF(_Ov_Ophthalmology!L22&lt;&gt;"",_Ov_Ophthalmology!L22,SUM(Nursing!L22))</f>
        <v>0</v>
      </c>
      <c r="M22" s="108">
        <f>IF(_Ov_Ophthalmology!M22&lt;&gt;"",_Ov_Ophthalmology!M22,SUM(Nursing!M22))</f>
        <v>0</v>
      </c>
      <c r="N22" s="108">
        <f>IF(_Ov_Ophthalmology!N22&lt;&gt;"",_Ov_Ophthalmology!N22,SUM(Nursing!N22))</f>
        <v>0</v>
      </c>
      <c r="O22" s="110">
        <f>IF(_Ov_Ophthalmology!O22&lt;&gt;"",_Ov_Ophthalmology!O22,SUM(Nursing!O22))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25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25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25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25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25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25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25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25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25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25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25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25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25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25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25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25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25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25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25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25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25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25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25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25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25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25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25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25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25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25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25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25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25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25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25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25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25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25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25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25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25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25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25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25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25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25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Q74"/>
  <sheetViews>
    <sheetView workbookViewId="0"/>
  </sheetViews>
  <sheetFormatPr defaultRowHeight="15" x14ac:dyDescent="0.25"/>
  <cols>
    <col min="1" max="1" width="10.7109375" customWidth="1"/>
    <col min="14" max="14" width="10.7109375" customWidth="1"/>
    <col min="21" max="21" width="10.7109375" customWidth="1"/>
    <col min="26" max="26" width="10.7109375" customWidth="1"/>
  </cols>
  <sheetData>
    <row r="1" spans="1:43" ht="15" customHeight="1" x14ac:dyDescent="0.25">
      <c r="A1" s="20" t="s">
        <v>159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25">
      <c r="A2" s="20"/>
      <c r="B2" s="128"/>
      <c r="C2" s="252" t="s">
        <v>0</v>
      </c>
      <c r="D2" s="253"/>
      <c r="E2" s="253"/>
      <c r="F2" s="253"/>
      <c r="G2" s="266" t="s">
        <v>1</v>
      </c>
      <c r="H2" s="253"/>
      <c r="I2" s="253"/>
      <c r="J2" s="253"/>
      <c r="K2" s="253"/>
      <c r="L2" s="253"/>
      <c r="M2" s="269" t="s">
        <v>2</v>
      </c>
      <c r="N2" s="253"/>
      <c r="O2" s="253"/>
      <c r="P2" s="265" t="s">
        <v>3</v>
      </c>
      <c r="Q2" s="253"/>
      <c r="R2" s="129"/>
      <c r="S2" s="129"/>
      <c r="T2" s="129"/>
      <c r="U2" s="301"/>
      <c r="V2" s="253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20"/>
      <c r="B3" s="128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129"/>
      <c r="S3" s="129"/>
      <c r="T3" s="129"/>
      <c r="U3" s="253"/>
      <c r="V3" s="253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25">
      <c r="A4" s="20"/>
      <c r="B4" s="128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129"/>
      <c r="S4" s="129"/>
      <c r="T4" s="129"/>
      <c r="U4" s="253"/>
      <c r="V4" s="253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25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26.795833333333331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>
        <f t="shared" si="0"/>
        <v>0</v>
      </c>
      <c r="O5" s="135">
        <f t="shared" si="0"/>
        <v>0</v>
      </c>
      <c r="P5" s="14">
        <f t="shared" si="0"/>
        <v>5</v>
      </c>
      <c r="Q5" s="136">
        <f t="shared" si="0"/>
        <v>0</v>
      </c>
      <c r="R5" s="306" t="s">
        <v>12</v>
      </c>
      <c r="S5" s="303"/>
      <c r="T5" s="304">
        <f>AVERAGE(T11:T12)</f>
        <v>0</v>
      </c>
      <c r="U5" s="137"/>
      <c r="V5" s="304">
        <f>AVERAGE(V11:V12)</f>
        <v>1.375</v>
      </c>
      <c r="W5" s="130"/>
      <c r="X5" s="304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25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7"/>
      <c r="S6" s="303"/>
      <c r="T6" s="305"/>
      <c r="U6" s="137"/>
      <c r="V6" s="305"/>
      <c r="W6" s="130"/>
      <c r="X6" s="305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25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2" t="s">
        <v>14</v>
      </c>
      <c r="S7" s="30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25">
      <c r="A8" s="20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5" t="s">
        <v>21</v>
      </c>
      <c r="L8" s="255" t="s">
        <v>22</v>
      </c>
      <c r="M8" s="257" t="s">
        <v>23</v>
      </c>
      <c r="N8" s="263" t="s">
        <v>24</v>
      </c>
      <c r="O8" s="271" t="s">
        <v>25</v>
      </c>
      <c r="P8" s="264" t="s">
        <v>26</v>
      </c>
      <c r="Q8" s="270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8" t="s">
        <v>147</v>
      </c>
      <c r="X8" s="253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25">
      <c r="A9" s="20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147"/>
      <c r="W9" s="253"/>
      <c r="X9" s="253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25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3"/>
      <c r="X10" s="253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25">
      <c r="A11" s="20"/>
      <c r="B11" s="62">
        <f>EDATE(DATE(_Setup!$B$4,10,1),ROW()-ROW($B$11))</f>
        <v>45931</v>
      </c>
      <c r="C11" s="63">
        <f>IF(_Ov_Ophthalmology!C11&lt;&gt;"",_Ov_Ophthalmology!C11,SUM(Supervisory!C11))</f>
        <v>0</v>
      </c>
      <c r="D11" s="64">
        <f>IF(_Ov_Ophthalmology!D11&lt;&gt;"",_Ov_Ophthalmology!D11,SUM(Supervisory!D11))</f>
        <v>0</v>
      </c>
      <c r="E11" s="65" t="str">
        <f t="shared" ref="E11:E22" si="1">IFERROR(D11/C11,"")</f>
        <v/>
      </c>
      <c r="F11" s="66">
        <f>IF(_Ov_Ophthalmology!F11&lt;&gt;"",_Ov_Ophthalmology!F11,SUM(Supervisory!F11))</f>
        <v>0</v>
      </c>
      <c r="G11" s="67">
        <f>IF(_Ov_Ophthalmology!G11&lt;&gt;"",_Ov_Ophthalmology!G11,SUM(Supervisory!G11))</f>
        <v>0</v>
      </c>
      <c r="H11" s="150" t="str">
        <f t="shared" ref="H11:H22" si="2">IFERROR(G11/F11,"")</f>
        <v/>
      </c>
      <c r="I11" s="151">
        <f>IF(_Ov_Ophthalmology!I11&lt;&gt;"",_Ov_Ophthalmology!I11,SUM(Supervisory!I11))</f>
        <v>0</v>
      </c>
      <c r="J11" s="151">
        <f>IF(_Ov_Ophthalmology!J11&lt;&gt;"",_Ov_Ophthalmology!J11,SUM(Supervisory!J11))</f>
        <v>47.6</v>
      </c>
      <c r="K11" s="151" t="str">
        <f>IF(_Ov_Ophthalmology!K11&lt;&gt;"",_Ov_Ophthalmology!K11,IFERROR(Supervisory!BA11/Supervisory!AZ11,""))</f>
        <v/>
      </c>
      <c r="L11" s="73">
        <f>IF(_Ov_Ophthalmology!L11&lt;&gt;"",_Ov_Ophthalmology!L11,SUM(Supervisory!L11))</f>
        <v>0</v>
      </c>
      <c r="M11" s="71">
        <f>IF(_Ov_Ophthalmology!M11&lt;&gt;"",_Ov_Ophthalmology!M11,SUM(Supervisory!M11))</f>
        <v>0</v>
      </c>
      <c r="N11" s="71">
        <f>IF(_Ov_Ophthalmology!N11&lt;&gt;"",_Ov_Ophthalmology!N11,SUM(Supervisory!N11))</f>
        <v>0</v>
      </c>
      <c r="O11" s="73">
        <f>IF(_Ov_Ophthalmology!O11&lt;&gt;"",_Ov_Ophthalmology!O11,SUM(Supervisory!O11))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3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25">
      <c r="A12" s="20"/>
      <c r="B12" s="62">
        <f>EDATE(DATE(_Setup!$B$4,10,1),ROW()-ROW($B$11))</f>
        <v>45962</v>
      </c>
      <c r="C12" s="81">
        <f>IF(_Ov_Ophthalmology!C12&lt;&gt;"",_Ov_Ophthalmology!C12,SUM(Supervisory!C12))</f>
        <v>0</v>
      </c>
      <c r="D12" s="82">
        <f>IF(_Ov_Ophthalmology!D12&lt;&gt;"",_Ov_Ophthalmology!D12,SUM(Supervisory!D12))</f>
        <v>0</v>
      </c>
      <c r="E12" s="83" t="str">
        <f t="shared" si="1"/>
        <v/>
      </c>
      <c r="F12" s="84">
        <f>IF(_Ov_Ophthalmology!F12&lt;&gt;"",_Ov_Ophthalmology!F12,SUM(Supervisory!F12))</f>
        <v>0</v>
      </c>
      <c r="G12" s="85">
        <f>IF(_Ov_Ophthalmology!G12&lt;&gt;"",_Ov_Ophthalmology!G12,SUM(Supervisory!G12))</f>
        <v>0</v>
      </c>
      <c r="H12" s="157" t="str">
        <f t="shared" si="2"/>
        <v/>
      </c>
      <c r="I12" s="154">
        <f>IF(_Ov_Ophthalmology!I12&lt;&gt;"",_Ov_Ophthalmology!I12,SUM(Supervisory!I12))</f>
        <v>0</v>
      </c>
      <c r="J12" s="154">
        <f>IF(_Ov_Ophthalmology!J12&lt;&gt;"",_Ov_Ophthalmology!J12,SUM(Supervisory!J12))</f>
        <v>30.45</v>
      </c>
      <c r="K12" s="154" t="str">
        <f>IF(_Ov_Ophthalmology!K12&lt;&gt;"",_Ov_Ophthalmology!K12,IFERROR(Supervisory!BA12/Supervisory!AZ12,""))</f>
        <v/>
      </c>
      <c r="L12" s="91">
        <f>IF(_Ov_Ophthalmology!L12&lt;&gt;"",_Ov_Ophthalmology!L12,SUM(Supervisory!L12))</f>
        <v>0</v>
      </c>
      <c r="M12" s="89">
        <f>IF(_Ov_Ophthalmology!M12&lt;&gt;"",_Ov_Ophthalmology!M12,SUM(Supervisory!M12))</f>
        <v>0</v>
      </c>
      <c r="N12" s="89">
        <f>IF(_Ov_Ophthalmology!N12&lt;&gt;"",_Ov_Ophthalmology!N12,SUM(Supervisory!N12))</f>
        <v>0</v>
      </c>
      <c r="O12" s="91">
        <f>IF(_Ov_Ophthalmology!O12&lt;&gt;"",_Ov_Ophthalmology!O12,SUM(Supervisory!O12))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3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25">
      <c r="A13" s="20"/>
      <c r="B13" s="62">
        <f>EDATE(DATE(_Setup!$B$4,10,1),ROW()-ROW($B$11))</f>
        <v>45992</v>
      </c>
      <c r="C13" s="81">
        <f>IF(_Ov_Ophthalmology!C13&lt;&gt;"",_Ov_Ophthalmology!C13,SUM(Supervisory!C13))</f>
        <v>0</v>
      </c>
      <c r="D13" s="82">
        <f>IF(_Ov_Ophthalmology!D13&lt;&gt;"",_Ov_Ophthalmology!D13,SUM(Supervisory!D13))</f>
        <v>0</v>
      </c>
      <c r="E13" s="83" t="str">
        <f t="shared" si="1"/>
        <v/>
      </c>
      <c r="F13" s="84">
        <f>IF(_Ov_Ophthalmology!F13&lt;&gt;"",_Ov_Ophthalmology!F13,SUM(Supervisory!F13))</f>
        <v>0</v>
      </c>
      <c r="G13" s="85">
        <f>IF(_Ov_Ophthalmology!G13&lt;&gt;"",_Ov_Ophthalmology!G13,SUM(Supervisory!G13))</f>
        <v>0</v>
      </c>
      <c r="H13" s="157" t="str">
        <f t="shared" si="2"/>
        <v/>
      </c>
      <c r="I13" s="154">
        <f>IF(_Ov_Ophthalmology!I13&lt;&gt;"",_Ov_Ophthalmology!I13,SUM(Supervisory!I13))</f>
        <v>0</v>
      </c>
      <c r="J13" s="154">
        <f>IF(_Ov_Ophthalmology!J13&lt;&gt;"",_Ov_Ophthalmology!J13,SUM(Supervisory!J13))</f>
        <v>32.5</v>
      </c>
      <c r="K13" s="154" t="str">
        <f>IF(_Ov_Ophthalmology!K13&lt;&gt;"",_Ov_Ophthalmology!K13,IFERROR(Supervisory!BA13/Supervisory!AZ13,""))</f>
        <v/>
      </c>
      <c r="L13" s="91">
        <f>IF(_Ov_Ophthalmology!L13&lt;&gt;"",_Ov_Ophthalmology!L13,SUM(Supervisory!L13))</f>
        <v>0</v>
      </c>
      <c r="M13" s="89">
        <f>IF(_Ov_Ophthalmology!M13&lt;&gt;"",_Ov_Ophthalmology!M13,SUM(Supervisory!M13))</f>
        <v>0</v>
      </c>
      <c r="N13" s="89">
        <f>IF(_Ov_Ophthalmology!N13&lt;&gt;"",_Ov_Ophthalmology!N13,SUM(Supervisory!N13))</f>
        <v>0</v>
      </c>
      <c r="O13" s="91">
        <f>IF(_Ov_Ophthalmology!O13&lt;&gt;"",_Ov_Ophthalmology!O13,SUM(Supervisory!O13))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3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25">
      <c r="A14" s="20"/>
      <c r="B14" s="62">
        <f>EDATE(DATE(_Setup!$B$4,10,1),ROW()-ROW($B$11))</f>
        <v>46023</v>
      </c>
      <c r="C14" s="81">
        <f>IF(_Ov_Ophthalmology!C14&lt;&gt;"",_Ov_Ophthalmology!C14,SUM(Supervisory!C14))</f>
        <v>0</v>
      </c>
      <c r="D14" s="82">
        <f>IF(_Ov_Ophthalmology!D14&lt;&gt;"",_Ov_Ophthalmology!D14,SUM(Supervisory!D14))</f>
        <v>0</v>
      </c>
      <c r="E14" s="83" t="str">
        <f t="shared" si="1"/>
        <v/>
      </c>
      <c r="F14" s="84">
        <f>IF(_Ov_Ophthalmology!F14&lt;&gt;"",_Ov_Ophthalmology!F14,SUM(Supervisory!F14))</f>
        <v>0</v>
      </c>
      <c r="G14" s="85">
        <f>IF(_Ov_Ophthalmology!G14&lt;&gt;"",_Ov_Ophthalmology!G14,SUM(Supervisory!G14))</f>
        <v>0</v>
      </c>
      <c r="H14" s="157" t="str">
        <f t="shared" si="2"/>
        <v/>
      </c>
      <c r="I14" s="154">
        <f>IF(_Ov_Ophthalmology!I14&lt;&gt;"",_Ov_Ophthalmology!I14,SUM(Supervisory!I14))</f>
        <v>0</v>
      </c>
      <c r="J14" s="154">
        <f>IF(_Ov_Ophthalmology!J14&lt;&gt;"",_Ov_Ophthalmology!J14,SUM(Supervisory!J14))</f>
        <v>48.05</v>
      </c>
      <c r="K14" s="154" t="str">
        <f>IF(_Ov_Ophthalmology!K14&lt;&gt;"",_Ov_Ophthalmology!K14,IFERROR(Supervisory!BA14/Supervisory!AZ14,""))</f>
        <v/>
      </c>
      <c r="L14" s="91">
        <f>IF(_Ov_Ophthalmology!L14&lt;&gt;"",_Ov_Ophthalmology!L14,SUM(Supervisory!L14))</f>
        <v>0</v>
      </c>
      <c r="M14" s="89">
        <f>IF(_Ov_Ophthalmology!M14&lt;&gt;"",_Ov_Ophthalmology!M14,SUM(Supervisory!M14))</f>
        <v>0</v>
      </c>
      <c r="N14" s="89">
        <f>IF(_Ov_Ophthalmology!N14&lt;&gt;"",_Ov_Ophthalmology!N14,SUM(Supervisory!N14))</f>
        <v>0</v>
      </c>
      <c r="O14" s="91">
        <f>IF(_Ov_Ophthalmology!O14&lt;&gt;"",_Ov_Ophthalmology!O14,SUM(Supervisory!O14))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3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25">
      <c r="A15" s="20"/>
      <c r="B15" s="62">
        <f>EDATE(DATE(_Setup!$B$4,10,1),ROW()-ROW($B$11))</f>
        <v>46054</v>
      </c>
      <c r="C15" s="81">
        <f>IF(_Ov_Ophthalmology!C15&lt;&gt;"",_Ov_Ophthalmology!C15,SUM(Supervisory!C15))</f>
        <v>0</v>
      </c>
      <c r="D15" s="82">
        <f>IF(_Ov_Ophthalmology!D15&lt;&gt;"",_Ov_Ophthalmology!D15,SUM(Supervisory!D15))</f>
        <v>0</v>
      </c>
      <c r="E15" s="83" t="str">
        <f t="shared" si="1"/>
        <v/>
      </c>
      <c r="F15" s="84">
        <f>IF(_Ov_Ophthalmology!F15&lt;&gt;"",_Ov_Ophthalmology!F15,SUM(Supervisory!F15))</f>
        <v>0</v>
      </c>
      <c r="G15" s="85">
        <f>IF(_Ov_Ophthalmology!G15&lt;&gt;"",_Ov_Ophthalmology!G15,SUM(Supervisory!G15))</f>
        <v>0</v>
      </c>
      <c r="H15" s="157" t="str">
        <f t="shared" si="2"/>
        <v/>
      </c>
      <c r="I15" s="154">
        <f>IF(_Ov_Ophthalmology!I15&lt;&gt;"",_Ov_Ophthalmology!I15,SUM(Supervisory!I15))</f>
        <v>0</v>
      </c>
      <c r="J15" s="154">
        <f>IF(_Ov_Ophthalmology!J15&lt;&gt;"",_Ov_Ophthalmology!J15,SUM(Supervisory!J15))</f>
        <v>36.4</v>
      </c>
      <c r="K15" s="154" t="str">
        <f>IF(_Ov_Ophthalmology!K15&lt;&gt;"",_Ov_Ophthalmology!K15,IFERROR(Supervisory!BA15/Supervisory!AZ15,""))</f>
        <v/>
      </c>
      <c r="L15" s="91">
        <f>IF(_Ov_Ophthalmology!L15&lt;&gt;"",_Ov_Ophthalmology!L15,SUM(Supervisory!L15))</f>
        <v>0</v>
      </c>
      <c r="M15" s="89">
        <f>IF(_Ov_Ophthalmology!M15&lt;&gt;"",_Ov_Ophthalmology!M15,SUM(Supervisory!M15))</f>
        <v>0</v>
      </c>
      <c r="N15" s="89">
        <f>IF(_Ov_Ophthalmology!N15&lt;&gt;"",_Ov_Ophthalmology!N15,SUM(Supervisory!N15))</f>
        <v>0</v>
      </c>
      <c r="O15" s="91">
        <f>IF(_Ov_Ophthalmology!O15&lt;&gt;"",_Ov_Ophthalmology!O15,SUM(Supervisory!O15))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3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25">
      <c r="A16" s="20"/>
      <c r="B16" s="62">
        <f>EDATE(DATE(_Setup!$B$4,10,1),ROW()-ROW($B$11))</f>
        <v>46082</v>
      </c>
      <c r="C16" s="81">
        <f>IF(_Ov_Ophthalmology!C16&lt;&gt;"",_Ov_Ophthalmology!C16,SUM(Supervisory!C16))</f>
        <v>0</v>
      </c>
      <c r="D16" s="82">
        <f>IF(_Ov_Ophthalmology!D16&lt;&gt;"",_Ov_Ophthalmology!D16,SUM(Supervisory!D16))</f>
        <v>0</v>
      </c>
      <c r="E16" s="83" t="str">
        <f t="shared" si="1"/>
        <v/>
      </c>
      <c r="F16" s="84">
        <f>IF(_Ov_Ophthalmology!F16&lt;&gt;"",_Ov_Ophthalmology!F16,SUM(Supervisory!F16))</f>
        <v>0</v>
      </c>
      <c r="G16" s="85">
        <f>IF(_Ov_Ophthalmology!G16&lt;&gt;"",_Ov_Ophthalmology!G16,SUM(Supervisory!G16))</f>
        <v>0</v>
      </c>
      <c r="H16" s="157" t="str">
        <f t="shared" si="2"/>
        <v/>
      </c>
      <c r="I16" s="154">
        <f>IF(_Ov_Ophthalmology!I16&lt;&gt;"",_Ov_Ophthalmology!I16,SUM(Supervisory!I16))</f>
        <v>0</v>
      </c>
      <c r="J16" s="154">
        <f>IF(_Ov_Ophthalmology!J16&lt;&gt;"",_Ov_Ophthalmology!J16,SUM(Supervisory!J16))</f>
        <v>35.4</v>
      </c>
      <c r="K16" s="154" t="str">
        <f>IF(_Ov_Ophthalmology!K16&lt;&gt;"",_Ov_Ophthalmology!K16,IFERROR(Supervisory!BA16/Supervisory!AZ16,""))</f>
        <v/>
      </c>
      <c r="L16" s="91">
        <f>IF(_Ov_Ophthalmology!L16&lt;&gt;"",_Ov_Ophthalmology!L16,SUM(Supervisory!L16))</f>
        <v>0</v>
      </c>
      <c r="M16" s="89">
        <f>IF(_Ov_Ophthalmology!M16&lt;&gt;"",_Ov_Ophthalmology!M16,SUM(Supervisory!M16))</f>
        <v>0</v>
      </c>
      <c r="N16" s="89">
        <f>IF(_Ov_Ophthalmology!N16&lt;&gt;"",_Ov_Ophthalmology!N16,SUM(Supervisory!N16))</f>
        <v>0</v>
      </c>
      <c r="O16" s="91">
        <f>IF(_Ov_Ophthalmology!O16&lt;&gt;"",_Ov_Ophthalmology!O16,SUM(Supervisory!O16))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3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25">
      <c r="A17" s="20"/>
      <c r="B17" s="62">
        <f>EDATE(DATE(_Setup!$B$4,10,1),ROW()-ROW($B$11))</f>
        <v>46113</v>
      </c>
      <c r="C17" s="81">
        <f>IF(_Ov_Ophthalmology!C17&lt;&gt;"",_Ov_Ophthalmology!C17,SUM(Supervisory!C17))</f>
        <v>0</v>
      </c>
      <c r="D17" s="82">
        <f>IF(_Ov_Ophthalmology!D17&lt;&gt;"",_Ov_Ophthalmology!D17,SUM(Supervisory!D17))</f>
        <v>0</v>
      </c>
      <c r="E17" s="83" t="str">
        <f t="shared" si="1"/>
        <v/>
      </c>
      <c r="F17" s="84">
        <f>IF(_Ov_Ophthalmology!F17&lt;&gt;"",_Ov_Ophthalmology!F17,SUM(Supervisory!F17))</f>
        <v>0</v>
      </c>
      <c r="G17" s="85">
        <f>IF(_Ov_Ophthalmology!G17&lt;&gt;"",_Ov_Ophthalmology!G17,SUM(Supervisory!G17))</f>
        <v>0</v>
      </c>
      <c r="H17" s="157" t="str">
        <f t="shared" si="2"/>
        <v/>
      </c>
      <c r="I17" s="154">
        <f>IF(_Ov_Ophthalmology!I17&lt;&gt;"",_Ov_Ophthalmology!I17,SUM(Supervisory!I17))</f>
        <v>0</v>
      </c>
      <c r="J17" s="154">
        <f>IF(_Ov_Ophthalmology!J17&lt;&gt;"",_Ov_Ophthalmology!J17,SUM(Supervisory!J17))</f>
        <v>42.75</v>
      </c>
      <c r="K17" s="154" t="str">
        <f>IF(_Ov_Ophthalmology!K17&lt;&gt;"",_Ov_Ophthalmology!K17,IFERROR(Supervisory!BA17/Supervisory!AZ17,""))</f>
        <v/>
      </c>
      <c r="L17" s="91">
        <f>IF(_Ov_Ophthalmology!L17&lt;&gt;"",_Ov_Ophthalmology!L17,SUM(Supervisory!L17))</f>
        <v>0</v>
      </c>
      <c r="M17" s="89">
        <f>IF(_Ov_Ophthalmology!M17&lt;&gt;"",_Ov_Ophthalmology!M17,SUM(Supervisory!M17))</f>
        <v>0</v>
      </c>
      <c r="N17" s="89">
        <f>IF(_Ov_Ophthalmology!N17&lt;&gt;"",_Ov_Ophthalmology!N17,SUM(Supervisory!N17))</f>
        <v>0</v>
      </c>
      <c r="O17" s="91">
        <f>IF(_Ov_Ophthalmology!O17&lt;&gt;"",_Ov_Ophthalmology!O17,SUM(Supervisory!O17))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3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25">
      <c r="A18" s="20"/>
      <c r="B18" s="62">
        <f>EDATE(DATE(_Setup!$B$4,10,1),ROW()-ROW($B$11))</f>
        <v>46143</v>
      </c>
      <c r="C18" s="81">
        <f>IF(_Ov_Ophthalmology!C18&lt;&gt;"",_Ov_Ophthalmology!C18,SUM(Supervisory!C18))</f>
        <v>0</v>
      </c>
      <c r="D18" s="82">
        <f>IF(_Ov_Ophthalmology!D18&lt;&gt;"",_Ov_Ophthalmology!D18,SUM(Supervisory!D18))</f>
        <v>0</v>
      </c>
      <c r="E18" s="83" t="str">
        <f t="shared" si="1"/>
        <v/>
      </c>
      <c r="F18" s="84">
        <f>IF(_Ov_Ophthalmology!F18&lt;&gt;"",_Ov_Ophthalmology!F18,SUM(Supervisory!F18))</f>
        <v>0</v>
      </c>
      <c r="G18" s="85">
        <f>IF(_Ov_Ophthalmology!G18&lt;&gt;"",_Ov_Ophthalmology!G18,SUM(Supervisory!G18))</f>
        <v>0</v>
      </c>
      <c r="H18" s="157" t="str">
        <f t="shared" si="2"/>
        <v/>
      </c>
      <c r="I18" s="154">
        <f>IF(_Ov_Ophthalmology!I18&lt;&gt;"",_Ov_Ophthalmology!I18,SUM(Supervisory!I18))</f>
        <v>0</v>
      </c>
      <c r="J18" s="154">
        <f>IF(_Ov_Ophthalmology!J18&lt;&gt;"",_Ov_Ophthalmology!J18,SUM(Supervisory!J18))</f>
        <v>48.4</v>
      </c>
      <c r="K18" s="154" t="str">
        <f>IF(_Ov_Ophthalmology!K18&lt;&gt;"",_Ov_Ophthalmology!K18,IFERROR(Supervisory!BA18/Supervisory!AZ18,""))</f>
        <v/>
      </c>
      <c r="L18" s="91">
        <f>IF(_Ov_Ophthalmology!L18&lt;&gt;"",_Ov_Ophthalmology!L18,SUM(Supervisory!L18))</f>
        <v>0</v>
      </c>
      <c r="M18" s="89">
        <f>IF(_Ov_Ophthalmology!M18&lt;&gt;"",_Ov_Ophthalmology!M18,SUM(Supervisory!M18))</f>
        <v>0</v>
      </c>
      <c r="N18" s="89">
        <f>IF(_Ov_Ophthalmology!N18&lt;&gt;"",_Ov_Ophthalmology!N18,SUM(Supervisory!N18))</f>
        <v>0</v>
      </c>
      <c r="O18" s="91">
        <f>IF(_Ov_Ophthalmology!O18&lt;&gt;"",_Ov_Ophthalmology!O18,SUM(Supervisory!O18))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3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25">
      <c r="A19" s="20"/>
      <c r="B19" s="62">
        <f>EDATE(DATE(_Setup!$B$4,10,1),ROW()-ROW($B$11))</f>
        <v>46174</v>
      </c>
      <c r="C19" s="81">
        <f>IF(_Ov_Ophthalmology!C19&lt;&gt;"",_Ov_Ophthalmology!C19,SUM(Supervisory!C19))</f>
        <v>0</v>
      </c>
      <c r="D19" s="82">
        <f>IF(_Ov_Ophthalmology!D19&lt;&gt;"",_Ov_Ophthalmology!D19,SUM(Supervisory!D19))</f>
        <v>0</v>
      </c>
      <c r="E19" s="83" t="str">
        <f t="shared" si="1"/>
        <v/>
      </c>
      <c r="F19" s="84">
        <f>IF(_Ov_Ophthalmology!F19&lt;&gt;"",_Ov_Ophthalmology!F19,SUM(Supervisory!F19))</f>
        <v>0</v>
      </c>
      <c r="G19" s="85">
        <f>IF(_Ov_Ophthalmology!G19&lt;&gt;"",_Ov_Ophthalmology!G19,SUM(Supervisory!G19))</f>
        <v>0</v>
      </c>
      <c r="H19" s="157" t="str">
        <f t="shared" si="2"/>
        <v/>
      </c>
      <c r="I19" s="154">
        <f>IF(_Ov_Ophthalmology!I19&lt;&gt;"",_Ov_Ophthalmology!I19,SUM(Supervisory!I19))</f>
        <v>0</v>
      </c>
      <c r="J19" s="154">
        <f>IF(_Ov_Ophthalmology!J19&lt;&gt;"",_Ov_Ophthalmology!J19,SUM(Supervisory!J19))</f>
        <v>0</v>
      </c>
      <c r="K19" s="154" t="str">
        <f>IF(_Ov_Ophthalmology!K19&lt;&gt;"",_Ov_Ophthalmology!K19,IFERROR(Supervisory!BA19/Supervisory!AZ19,""))</f>
        <v/>
      </c>
      <c r="L19" s="91">
        <f>IF(_Ov_Ophthalmology!L19&lt;&gt;"",_Ov_Ophthalmology!L19,SUM(Supervisory!L19))</f>
        <v>0</v>
      </c>
      <c r="M19" s="89">
        <f>IF(_Ov_Ophthalmology!M19&lt;&gt;"",_Ov_Ophthalmology!M19,SUM(Supervisory!M19))</f>
        <v>0</v>
      </c>
      <c r="N19" s="89">
        <f>IF(_Ov_Ophthalmology!N19&lt;&gt;"",_Ov_Ophthalmology!N19,SUM(Supervisory!N19))</f>
        <v>0</v>
      </c>
      <c r="O19" s="91">
        <f>IF(_Ov_Ophthalmology!O19&lt;&gt;"",_Ov_Ophthalmology!O19,SUM(Supervisory!O19))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3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25">
      <c r="A20" s="20"/>
      <c r="B20" s="62">
        <f>EDATE(DATE(_Setup!$B$4,10,1),ROW()-ROW($B$11))</f>
        <v>46204</v>
      </c>
      <c r="C20" s="81">
        <f>IF(_Ov_Ophthalmology!C20&lt;&gt;"",_Ov_Ophthalmology!C20,SUM(Supervisory!C20))</f>
        <v>0</v>
      </c>
      <c r="D20" s="82">
        <f>IF(_Ov_Ophthalmology!D20&lt;&gt;"",_Ov_Ophthalmology!D20,SUM(Supervisory!D20))</f>
        <v>0</v>
      </c>
      <c r="E20" s="83" t="str">
        <f t="shared" si="1"/>
        <v/>
      </c>
      <c r="F20" s="84">
        <f>IF(_Ov_Ophthalmology!F20&lt;&gt;"",_Ov_Ophthalmology!F20,SUM(Supervisory!F20))</f>
        <v>0</v>
      </c>
      <c r="G20" s="85">
        <f>IF(_Ov_Ophthalmology!G20&lt;&gt;"",_Ov_Ophthalmology!G20,SUM(Supervisory!G20))</f>
        <v>0</v>
      </c>
      <c r="H20" s="157" t="str">
        <f t="shared" si="2"/>
        <v/>
      </c>
      <c r="I20" s="154">
        <f>IF(_Ov_Ophthalmology!I20&lt;&gt;"",_Ov_Ophthalmology!I20,SUM(Supervisory!I20))</f>
        <v>0</v>
      </c>
      <c r="J20" s="154">
        <f>IF(_Ov_Ophthalmology!J20&lt;&gt;"",_Ov_Ophthalmology!J20,SUM(Supervisory!J20))</f>
        <v>0</v>
      </c>
      <c r="K20" s="154" t="str">
        <f>IF(_Ov_Ophthalmology!K20&lt;&gt;"",_Ov_Ophthalmology!K20,IFERROR(Supervisory!BA20/Supervisory!AZ20,""))</f>
        <v/>
      </c>
      <c r="L20" s="91">
        <f>IF(_Ov_Ophthalmology!L20&lt;&gt;"",_Ov_Ophthalmology!L20,SUM(Supervisory!L20))</f>
        <v>0</v>
      </c>
      <c r="M20" s="89">
        <f>IF(_Ov_Ophthalmology!M20&lt;&gt;"",_Ov_Ophthalmology!M20,SUM(Supervisory!M20))</f>
        <v>0</v>
      </c>
      <c r="N20" s="89">
        <f>IF(_Ov_Ophthalmology!N20&lt;&gt;"",_Ov_Ophthalmology!N20,SUM(Supervisory!N20))</f>
        <v>0</v>
      </c>
      <c r="O20" s="91">
        <f>IF(_Ov_Ophthalmology!O20&lt;&gt;"",_Ov_Ophthalmology!O20,SUM(Supervisory!O20))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25">
      <c r="A21" s="20"/>
      <c r="B21" s="62">
        <f>EDATE(DATE(_Setup!$B$4,10,1),ROW()-ROW($B$11))</f>
        <v>46235</v>
      </c>
      <c r="C21" s="81">
        <f>IF(_Ov_Ophthalmology!C21&lt;&gt;"",_Ov_Ophthalmology!C21,SUM(Supervisory!C21))</f>
        <v>0</v>
      </c>
      <c r="D21" s="82">
        <f>IF(_Ov_Ophthalmology!D21&lt;&gt;"",_Ov_Ophthalmology!D21,SUM(Supervisory!D21))</f>
        <v>0</v>
      </c>
      <c r="E21" s="83" t="str">
        <f t="shared" si="1"/>
        <v/>
      </c>
      <c r="F21" s="84">
        <f>IF(_Ov_Ophthalmology!F21&lt;&gt;"",_Ov_Ophthalmology!F21,SUM(Supervisory!F21))</f>
        <v>0</v>
      </c>
      <c r="G21" s="85">
        <f>IF(_Ov_Ophthalmology!G21&lt;&gt;"",_Ov_Ophthalmology!G21,SUM(Supervisory!G21))</f>
        <v>0</v>
      </c>
      <c r="H21" s="157" t="str">
        <f t="shared" si="2"/>
        <v/>
      </c>
      <c r="I21" s="154">
        <f>IF(_Ov_Ophthalmology!I21&lt;&gt;"",_Ov_Ophthalmology!I21,SUM(Supervisory!I21))</f>
        <v>0</v>
      </c>
      <c r="J21" s="154">
        <f>IF(_Ov_Ophthalmology!J21&lt;&gt;"",_Ov_Ophthalmology!J21,SUM(Supervisory!J21))</f>
        <v>0</v>
      </c>
      <c r="K21" s="154" t="str">
        <f>IF(_Ov_Ophthalmology!K21&lt;&gt;"",_Ov_Ophthalmology!K21,IFERROR(Supervisory!BA21/Supervisory!AZ21,""))</f>
        <v/>
      </c>
      <c r="L21" s="91">
        <f>IF(_Ov_Ophthalmology!L21&lt;&gt;"",_Ov_Ophthalmology!L21,SUM(Supervisory!L21))</f>
        <v>0</v>
      </c>
      <c r="M21" s="89">
        <f>IF(_Ov_Ophthalmology!M21&lt;&gt;"",_Ov_Ophthalmology!M21,SUM(Supervisory!M21))</f>
        <v>0</v>
      </c>
      <c r="N21" s="89">
        <f>IF(_Ov_Ophthalmology!N21&lt;&gt;"",_Ov_Ophthalmology!N21,SUM(Supervisory!N21))</f>
        <v>0</v>
      </c>
      <c r="O21" s="91">
        <f>IF(_Ov_Ophthalmology!O21&lt;&gt;"",_Ov_Ophthalmology!O21,SUM(Supervisory!O21))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25">
      <c r="A22" s="20"/>
      <c r="B22" s="62">
        <f>EDATE(DATE(_Setup!$B$4,10,1),ROW()-ROW($B$11))</f>
        <v>46266</v>
      </c>
      <c r="C22" s="100">
        <f>IF(_Ov_Ophthalmology!C22&lt;&gt;"",_Ov_Ophthalmology!C22,SUM(Supervisory!C22))</f>
        <v>0</v>
      </c>
      <c r="D22" s="101">
        <f>IF(_Ov_Ophthalmology!D22&lt;&gt;"",_Ov_Ophthalmology!D22,SUM(Supervisory!D22))</f>
        <v>0</v>
      </c>
      <c r="E22" s="102" t="str">
        <f t="shared" si="1"/>
        <v/>
      </c>
      <c r="F22" s="103">
        <f>IF(_Ov_Ophthalmology!F22&lt;&gt;"",_Ov_Ophthalmology!F22,SUM(Supervisory!F22))</f>
        <v>0</v>
      </c>
      <c r="G22" s="104">
        <f>IF(_Ov_Ophthalmology!G22&lt;&gt;"",_Ov_Ophthalmology!G22,SUM(Supervisory!G22))</f>
        <v>0</v>
      </c>
      <c r="H22" s="161" t="str">
        <f t="shared" si="2"/>
        <v/>
      </c>
      <c r="I22" s="162">
        <f>IF(_Ov_Ophthalmology!I22&lt;&gt;"",_Ov_Ophthalmology!I22,SUM(Supervisory!I22))</f>
        <v>0</v>
      </c>
      <c r="J22" s="162">
        <f>IF(_Ov_Ophthalmology!J22&lt;&gt;"",_Ov_Ophthalmology!J22,SUM(Supervisory!J22))</f>
        <v>0</v>
      </c>
      <c r="K22" s="162" t="str">
        <f>IF(_Ov_Ophthalmology!K22&lt;&gt;"",_Ov_Ophthalmology!K22,IFERROR(Supervisory!BA22/Supervisory!AZ22,""))</f>
        <v/>
      </c>
      <c r="L22" s="110">
        <f>IF(_Ov_Ophthalmology!L22&lt;&gt;"",_Ov_Ophthalmology!L22,SUM(Supervisory!L22))</f>
        <v>0</v>
      </c>
      <c r="M22" s="108">
        <f>IF(_Ov_Ophthalmology!M22&lt;&gt;"",_Ov_Ophthalmology!M22,SUM(Supervisory!M22))</f>
        <v>0</v>
      </c>
      <c r="N22" s="108">
        <f>IF(_Ov_Ophthalmology!N22&lt;&gt;"",_Ov_Ophthalmology!N22,SUM(Supervisory!N22))</f>
        <v>0</v>
      </c>
      <c r="O22" s="110">
        <f>IF(_Ov_Ophthalmology!O22&lt;&gt;"",_Ov_Ophthalmology!O22,SUM(Supervisory!O22))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25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25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25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25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25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25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25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25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25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25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25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25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25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25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25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25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25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25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25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25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25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25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25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25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25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25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25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25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25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25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25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25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25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25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25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25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25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25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25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25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25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25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25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25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25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25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Q74"/>
  <sheetViews>
    <sheetView workbookViewId="0"/>
  </sheetViews>
  <sheetFormatPr defaultRowHeight="15" x14ac:dyDescent="0.25"/>
  <cols>
    <col min="1" max="1" width="10.7109375" customWidth="1"/>
    <col min="14" max="14" width="10.7109375" customWidth="1"/>
    <col min="21" max="21" width="10.7109375" customWidth="1"/>
    <col min="26" max="26" width="10.7109375" customWidth="1"/>
  </cols>
  <sheetData>
    <row r="1" spans="1:43" ht="15" customHeight="1" x14ac:dyDescent="0.25">
      <c r="A1" s="20" t="s">
        <v>160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25">
      <c r="A2" s="20"/>
      <c r="B2" s="128"/>
      <c r="C2" s="252" t="s">
        <v>0</v>
      </c>
      <c r="D2" s="253"/>
      <c r="E2" s="253"/>
      <c r="F2" s="253"/>
      <c r="G2" s="266" t="s">
        <v>1</v>
      </c>
      <c r="H2" s="253"/>
      <c r="I2" s="253"/>
      <c r="J2" s="253"/>
      <c r="K2" s="253"/>
      <c r="L2" s="253"/>
      <c r="M2" s="269" t="s">
        <v>2</v>
      </c>
      <c r="N2" s="253"/>
      <c r="O2" s="253"/>
      <c r="P2" s="265" t="s">
        <v>3</v>
      </c>
      <c r="Q2" s="253"/>
      <c r="R2" s="129"/>
      <c r="S2" s="129"/>
      <c r="T2" s="129"/>
      <c r="U2" s="301"/>
      <c r="V2" s="253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25">
      <c r="A3" s="20"/>
      <c r="B3" s="128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129"/>
      <c r="S3" s="129"/>
      <c r="T3" s="129"/>
      <c r="U3" s="253"/>
      <c r="V3" s="253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25">
      <c r="A4" s="20"/>
      <c r="B4" s="128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129"/>
      <c r="S4" s="129"/>
      <c r="T4" s="129"/>
      <c r="U4" s="253"/>
      <c r="V4" s="253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25">
      <c r="A5" s="20"/>
      <c r="B5" s="6" t="s">
        <v>11</v>
      </c>
      <c r="C5" s="7">
        <f t="shared" ref="C5:Q5" si="0">AVERAGE(C11:C22)</f>
        <v>0</v>
      </c>
      <c r="D5" s="7">
        <f t="shared" si="0"/>
        <v>0</v>
      </c>
      <c r="E5" s="131" t="e">
        <f t="shared" si="0"/>
        <v>#DIV/0!</v>
      </c>
      <c r="F5" s="16">
        <f t="shared" si="0"/>
        <v>0</v>
      </c>
      <c r="G5" s="132">
        <f t="shared" si="0"/>
        <v>0</v>
      </c>
      <c r="H5" s="133" t="e">
        <f t="shared" si="0"/>
        <v>#DIV/0!</v>
      </c>
      <c r="I5" s="9">
        <f t="shared" si="0"/>
        <v>0</v>
      </c>
      <c r="J5" s="134">
        <f t="shared" si="0"/>
        <v>0</v>
      </c>
      <c r="K5" s="134" t="e">
        <f t="shared" si="0"/>
        <v>#DIV/0!</v>
      </c>
      <c r="L5" s="135">
        <f t="shared" si="0"/>
        <v>0</v>
      </c>
      <c r="M5" s="135">
        <f t="shared" si="0"/>
        <v>0</v>
      </c>
      <c r="N5" s="14" t="e">
        <f t="shared" si="0"/>
        <v>#DIV/0!</v>
      </c>
      <c r="O5" s="135" t="e">
        <f t="shared" si="0"/>
        <v>#DIV/0!</v>
      </c>
      <c r="P5" s="14">
        <f t="shared" si="0"/>
        <v>5</v>
      </c>
      <c r="Q5" s="136">
        <f t="shared" si="0"/>
        <v>0</v>
      </c>
      <c r="R5" s="306" t="s">
        <v>12</v>
      </c>
      <c r="S5" s="303"/>
      <c r="T5" s="304">
        <f>AVERAGE(T11:T12)</f>
        <v>0</v>
      </c>
      <c r="U5" s="137"/>
      <c r="V5" s="304">
        <f>AVERAGE(V11:V12)</f>
        <v>1.375</v>
      </c>
      <c r="W5" s="130"/>
      <c r="X5" s="304" t="e">
        <f>AVERAGE(X11:X12)</f>
        <v>#DIV/0!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25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7"/>
      <c r="S6" s="303"/>
      <c r="T6" s="305"/>
      <c r="U6" s="137"/>
      <c r="V6" s="305"/>
      <c r="W6" s="130"/>
      <c r="X6" s="305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25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2" t="s">
        <v>14</v>
      </c>
      <c r="S7" s="303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25">
      <c r="A8" s="20"/>
      <c r="B8" s="51"/>
      <c r="C8" s="256" t="s">
        <v>15</v>
      </c>
      <c r="D8" s="258" t="s">
        <v>16</v>
      </c>
      <c r="E8" s="259" t="s">
        <v>17</v>
      </c>
      <c r="F8" s="260"/>
      <c r="G8" s="262" t="s">
        <v>18</v>
      </c>
      <c r="H8" s="268" t="s">
        <v>19</v>
      </c>
      <c r="I8" s="260"/>
      <c r="J8" s="261" t="s">
        <v>20</v>
      </c>
      <c r="K8" s="255" t="s">
        <v>21</v>
      </c>
      <c r="L8" s="255" t="s">
        <v>22</v>
      </c>
      <c r="M8" s="257" t="s">
        <v>23</v>
      </c>
      <c r="N8" s="263" t="s">
        <v>24</v>
      </c>
      <c r="O8" s="271" t="s">
        <v>25</v>
      </c>
      <c r="P8" s="264" t="s">
        <v>26</v>
      </c>
      <c r="Q8" s="270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8" t="s">
        <v>147</v>
      </c>
      <c r="X8" s="253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25">
      <c r="A9" s="20"/>
      <c r="B9" s="51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147"/>
      <c r="W9" s="253"/>
      <c r="X9" s="253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25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3"/>
      <c r="X10" s="253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25">
      <c r="A11" s="20"/>
      <c r="B11" s="62">
        <f>EDATE(DATE(_Setup!$B$4,10,1),ROW()-ROW($B$11))</f>
        <v>45931</v>
      </c>
      <c r="C11" s="63">
        <f>IF(_Ov_Ophthalmology!C11&lt;&gt;"",_Ov_Ophthalmology!C11,SUM(Ophthalmology!C11))</f>
        <v>0</v>
      </c>
      <c r="D11" s="64">
        <f>IF(_Ov_Ophthalmology!D11&lt;&gt;"",_Ov_Ophthalmology!D11,SUM(Ophthalmology!D11))</f>
        <v>0</v>
      </c>
      <c r="E11" s="65" t="str">
        <f t="shared" ref="E11:E22" si="1">IFERROR(D11/C11,"")</f>
        <v/>
      </c>
      <c r="F11" s="66">
        <f>IF(_Ov_Ophthalmology!F11&lt;&gt;"",_Ov_Ophthalmology!F11,SUM(Ophthalmology!F11))</f>
        <v>0</v>
      </c>
      <c r="G11" s="67">
        <f>IF(_Ov_Ophthalmology!G11&lt;&gt;"",_Ov_Ophthalmology!G11,SUM(Ophthalmology!G11))</f>
        <v>0</v>
      </c>
      <c r="H11" s="150" t="str">
        <f t="shared" ref="H11:H22" si="2">IFERROR(G11/F11,"")</f>
        <v/>
      </c>
      <c r="I11" s="151">
        <f>IF(_Ov_Ophthalmology!I11&lt;&gt;"",_Ov_Ophthalmology!I11,SUM(Ophthalmology!I11))</f>
        <v>0</v>
      </c>
      <c r="J11" s="151">
        <f>IF(_Ov_Ophthalmology!J11&lt;&gt;"",_Ov_Ophthalmology!J11,SUM(Ophthalmology!J11))</f>
        <v>0</v>
      </c>
      <c r="K11" s="151" t="str">
        <f>IF(_Ov_Ophthalmology!K11&lt;&gt;"",_Ov_Ophthalmology!K11,IFERROR(Ophthalmology!BA11/Ophthalmology!AZ11,""))</f>
        <v/>
      </c>
      <c r="L11" s="73">
        <f>IF(_Ov_Ophthalmology!L11&lt;&gt;"",_Ov_Ophthalmology!L11,SUM(Ophthalmology!L11))</f>
        <v>0</v>
      </c>
      <c r="M11" s="71">
        <f>IF(_Ov_Ophthalmology!M11&lt;&gt;"",_Ov_Ophthalmology!M11,SUM(Ophthalmology!M11))</f>
        <v>0</v>
      </c>
      <c r="N11" s="71" t="str">
        <f>IF(_Ov_Ophthalmology!N11&lt;&gt;"",_Ov_Ophthalmology!N11,"")</f>
        <v/>
      </c>
      <c r="O11" s="73" t="str">
        <f>IF(_Ov_Ophthalmology!O11&lt;&gt;"",_Ov_Ophthalmology!O11,"")</f>
        <v/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3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25">
      <c r="A12" s="20"/>
      <c r="B12" s="62">
        <f>EDATE(DATE(_Setup!$B$4,10,1),ROW()-ROW($B$11))</f>
        <v>45962</v>
      </c>
      <c r="C12" s="81">
        <f>IF(_Ov_Ophthalmology!C12&lt;&gt;"",_Ov_Ophthalmology!C12,SUM(Ophthalmology!C12))</f>
        <v>0</v>
      </c>
      <c r="D12" s="82">
        <f>IF(_Ov_Ophthalmology!D12&lt;&gt;"",_Ov_Ophthalmology!D12,SUM(Ophthalmology!D12))</f>
        <v>0</v>
      </c>
      <c r="E12" s="83" t="str">
        <f t="shared" si="1"/>
        <v/>
      </c>
      <c r="F12" s="84">
        <f>IF(_Ov_Ophthalmology!F12&lt;&gt;"",_Ov_Ophthalmology!F12,SUM(Ophthalmology!F12))</f>
        <v>0</v>
      </c>
      <c r="G12" s="85">
        <f>IF(_Ov_Ophthalmology!G12&lt;&gt;"",_Ov_Ophthalmology!G12,SUM(Ophthalmology!G12))</f>
        <v>0</v>
      </c>
      <c r="H12" s="157" t="str">
        <f t="shared" si="2"/>
        <v/>
      </c>
      <c r="I12" s="154">
        <f>IF(_Ov_Ophthalmology!I12&lt;&gt;"",_Ov_Ophthalmology!I12,SUM(Ophthalmology!I12))</f>
        <v>0</v>
      </c>
      <c r="J12" s="154">
        <f>IF(_Ov_Ophthalmology!J12&lt;&gt;"",_Ov_Ophthalmology!J12,SUM(Ophthalmology!J12))</f>
        <v>0</v>
      </c>
      <c r="K12" s="154" t="str">
        <f>IF(_Ov_Ophthalmology!K12&lt;&gt;"",_Ov_Ophthalmology!K12,IFERROR(Ophthalmology!BA12/Ophthalmology!AZ12,""))</f>
        <v/>
      </c>
      <c r="L12" s="91">
        <f>IF(_Ov_Ophthalmology!L12&lt;&gt;"",_Ov_Ophthalmology!L12,SUM(Ophthalmology!L12))</f>
        <v>0</v>
      </c>
      <c r="M12" s="89">
        <f>IF(_Ov_Ophthalmology!M12&lt;&gt;"",_Ov_Ophthalmology!M12,SUM(Ophthalmology!M12))</f>
        <v>0</v>
      </c>
      <c r="N12" s="89" t="str">
        <f>IF(_Ov_Ophthalmology!N12&lt;&gt;"",_Ov_Ophthalmology!N12,"")</f>
        <v/>
      </c>
      <c r="O12" s="91" t="str">
        <f>IF(_Ov_Ophthalmology!O12&lt;&gt;"",_Ov_Ophthalmology!O12,"")</f>
        <v/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3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25">
      <c r="A13" s="20"/>
      <c r="B13" s="62">
        <f>EDATE(DATE(_Setup!$B$4,10,1),ROW()-ROW($B$11))</f>
        <v>45992</v>
      </c>
      <c r="C13" s="81">
        <f>IF(_Ov_Ophthalmology!C13&lt;&gt;"",_Ov_Ophthalmology!C13,SUM(Ophthalmology!C13))</f>
        <v>0</v>
      </c>
      <c r="D13" s="82">
        <f>IF(_Ov_Ophthalmology!D13&lt;&gt;"",_Ov_Ophthalmology!D13,SUM(Ophthalmology!D13))</f>
        <v>0</v>
      </c>
      <c r="E13" s="83" t="str">
        <f t="shared" si="1"/>
        <v/>
      </c>
      <c r="F13" s="84">
        <f>IF(_Ov_Ophthalmology!F13&lt;&gt;"",_Ov_Ophthalmology!F13,SUM(Ophthalmology!F13))</f>
        <v>0</v>
      </c>
      <c r="G13" s="85">
        <f>IF(_Ov_Ophthalmology!G13&lt;&gt;"",_Ov_Ophthalmology!G13,SUM(Ophthalmology!G13))</f>
        <v>0</v>
      </c>
      <c r="H13" s="157" t="str">
        <f t="shared" si="2"/>
        <v/>
      </c>
      <c r="I13" s="154">
        <f>IF(_Ov_Ophthalmology!I13&lt;&gt;"",_Ov_Ophthalmology!I13,SUM(Ophthalmology!I13))</f>
        <v>0</v>
      </c>
      <c r="J13" s="154">
        <f>IF(_Ov_Ophthalmology!J13&lt;&gt;"",_Ov_Ophthalmology!J13,SUM(Ophthalmology!J13))</f>
        <v>0</v>
      </c>
      <c r="K13" s="154" t="str">
        <f>IF(_Ov_Ophthalmology!K13&lt;&gt;"",_Ov_Ophthalmology!K13,IFERROR(Ophthalmology!BA13/Ophthalmology!AZ13,""))</f>
        <v/>
      </c>
      <c r="L13" s="91">
        <f>IF(_Ov_Ophthalmology!L13&lt;&gt;"",_Ov_Ophthalmology!L13,SUM(Ophthalmology!L13))</f>
        <v>0</v>
      </c>
      <c r="M13" s="89">
        <f>IF(_Ov_Ophthalmology!M13&lt;&gt;"",_Ov_Ophthalmology!M13,SUM(Ophthalmology!M13))</f>
        <v>0</v>
      </c>
      <c r="N13" s="89" t="str">
        <f>IF(_Ov_Ophthalmology!N13&lt;&gt;"",_Ov_Ophthalmology!N13,"")</f>
        <v/>
      </c>
      <c r="O13" s="91" t="str">
        <f>IF(_Ov_Ophthalmology!O13&lt;&gt;"",_Ov_Ophthalmology!O13,"")</f>
        <v/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3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25">
      <c r="A14" s="20"/>
      <c r="B14" s="62">
        <f>EDATE(DATE(_Setup!$B$4,10,1),ROW()-ROW($B$11))</f>
        <v>46023</v>
      </c>
      <c r="C14" s="81">
        <f>IF(_Ov_Ophthalmology!C14&lt;&gt;"",_Ov_Ophthalmology!C14,SUM(Ophthalmology!C14))</f>
        <v>0</v>
      </c>
      <c r="D14" s="82">
        <f>IF(_Ov_Ophthalmology!D14&lt;&gt;"",_Ov_Ophthalmology!D14,SUM(Ophthalmology!D14))</f>
        <v>0</v>
      </c>
      <c r="E14" s="83" t="str">
        <f t="shared" si="1"/>
        <v/>
      </c>
      <c r="F14" s="84">
        <f>IF(_Ov_Ophthalmology!F14&lt;&gt;"",_Ov_Ophthalmology!F14,SUM(Ophthalmology!F14))</f>
        <v>0</v>
      </c>
      <c r="G14" s="85">
        <f>IF(_Ov_Ophthalmology!G14&lt;&gt;"",_Ov_Ophthalmology!G14,SUM(Ophthalmology!G14))</f>
        <v>0</v>
      </c>
      <c r="H14" s="157" t="str">
        <f t="shared" si="2"/>
        <v/>
      </c>
      <c r="I14" s="154">
        <f>IF(_Ov_Ophthalmology!I14&lt;&gt;"",_Ov_Ophthalmology!I14,SUM(Ophthalmology!I14))</f>
        <v>0</v>
      </c>
      <c r="J14" s="154">
        <f>IF(_Ov_Ophthalmology!J14&lt;&gt;"",_Ov_Ophthalmology!J14,SUM(Ophthalmology!J14))</f>
        <v>0</v>
      </c>
      <c r="K14" s="154" t="str">
        <f>IF(_Ov_Ophthalmology!K14&lt;&gt;"",_Ov_Ophthalmology!K14,IFERROR(Ophthalmology!BA14/Ophthalmology!AZ14,""))</f>
        <v/>
      </c>
      <c r="L14" s="91">
        <f>IF(_Ov_Ophthalmology!L14&lt;&gt;"",_Ov_Ophthalmology!L14,SUM(Ophthalmology!L14))</f>
        <v>0</v>
      </c>
      <c r="M14" s="89">
        <f>IF(_Ov_Ophthalmology!M14&lt;&gt;"",_Ov_Ophthalmology!M14,SUM(Ophthalmology!M14))</f>
        <v>0</v>
      </c>
      <c r="N14" s="89" t="str">
        <f>IF(_Ov_Ophthalmology!N14&lt;&gt;"",_Ov_Ophthalmology!N14,"")</f>
        <v/>
      </c>
      <c r="O14" s="91" t="str">
        <f>IF(_Ov_Ophthalmology!O14&lt;&gt;"",_Ov_Ophthalmology!O14,"")</f>
        <v/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3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25">
      <c r="A15" s="20"/>
      <c r="B15" s="62">
        <f>EDATE(DATE(_Setup!$B$4,10,1),ROW()-ROW($B$11))</f>
        <v>46054</v>
      </c>
      <c r="C15" s="81">
        <f>IF(_Ov_Ophthalmology!C15&lt;&gt;"",_Ov_Ophthalmology!C15,SUM(Ophthalmology!C15))</f>
        <v>0</v>
      </c>
      <c r="D15" s="82">
        <f>IF(_Ov_Ophthalmology!D15&lt;&gt;"",_Ov_Ophthalmology!D15,SUM(Ophthalmology!D15))</f>
        <v>0</v>
      </c>
      <c r="E15" s="83" t="str">
        <f t="shared" si="1"/>
        <v/>
      </c>
      <c r="F15" s="84">
        <f>IF(_Ov_Ophthalmology!F15&lt;&gt;"",_Ov_Ophthalmology!F15,SUM(Ophthalmology!F15))</f>
        <v>0</v>
      </c>
      <c r="G15" s="85">
        <f>IF(_Ov_Ophthalmology!G15&lt;&gt;"",_Ov_Ophthalmology!G15,SUM(Ophthalmology!G15))</f>
        <v>0</v>
      </c>
      <c r="H15" s="157" t="str">
        <f t="shared" si="2"/>
        <v/>
      </c>
      <c r="I15" s="154">
        <f>IF(_Ov_Ophthalmology!I15&lt;&gt;"",_Ov_Ophthalmology!I15,SUM(Ophthalmology!I15))</f>
        <v>0</v>
      </c>
      <c r="J15" s="154">
        <f>IF(_Ov_Ophthalmology!J15&lt;&gt;"",_Ov_Ophthalmology!J15,SUM(Ophthalmology!J15))</f>
        <v>0</v>
      </c>
      <c r="K15" s="154" t="str">
        <f>IF(_Ov_Ophthalmology!K15&lt;&gt;"",_Ov_Ophthalmology!K15,IFERROR(Ophthalmology!BA15/Ophthalmology!AZ15,""))</f>
        <v/>
      </c>
      <c r="L15" s="91">
        <f>IF(_Ov_Ophthalmology!L15&lt;&gt;"",_Ov_Ophthalmology!L15,SUM(Ophthalmology!L15))</f>
        <v>0</v>
      </c>
      <c r="M15" s="89">
        <f>IF(_Ov_Ophthalmology!M15&lt;&gt;"",_Ov_Ophthalmology!M15,SUM(Ophthalmology!M15))</f>
        <v>0</v>
      </c>
      <c r="N15" s="89" t="str">
        <f>IF(_Ov_Ophthalmology!N15&lt;&gt;"",_Ov_Ophthalmology!N15,"")</f>
        <v/>
      </c>
      <c r="O15" s="91" t="str">
        <f>IF(_Ov_Ophthalmology!O15&lt;&gt;"",_Ov_Ophthalmology!O15,"")</f>
        <v/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3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25">
      <c r="A16" s="20"/>
      <c r="B16" s="62">
        <f>EDATE(DATE(_Setup!$B$4,10,1),ROW()-ROW($B$11))</f>
        <v>46082</v>
      </c>
      <c r="C16" s="81">
        <f>IF(_Ov_Ophthalmology!C16&lt;&gt;"",_Ov_Ophthalmology!C16,SUM(Ophthalmology!C16))</f>
        <v>0</v>
      </c>
      <c r="D16" s="82">
        <f>IF(_Ov_Ophthalmology!D16&lt;&gt;"",_Ov_Ophthalmology!D16,SUM(Ophthalmology!D16))</f>
        <v>0</v>
      </c>
      <c r="E16" s="83" t="str">
        <f t="shared" si="1"/>
        <v/>
      </c>
      <c r="F16" s="84">
        <f>IF(_Ov_Ophthalmology!F16&lt;&gt;"",_Ov_Ophthalmology!F16,SUM(Ophthalmology!F16))</f>
        <v>0</v>
      </c>
      <c r="G16" s="85">
        <f>IF(_Ov_Ophthalmology!G16&lt;&gt;"",_Ov_Ophthalmology!G16,SUM(Ophthalmology!G16))</f>
        <v>0</v>
      </c>
      <c r="H16" s="157" t="str">
        <f t="shared" si="2"/>
        <v/>
      </c>
      <c r="I16" s="154">
        <f>IF(_Ov_Ophthalmology!I16&lt;&gt;"",_Ov_Ophthalmology!I16,SUM(Ophthalmology!I16))</f>
        <v>0</v>
      </c>
      <c r="J16" s="154">
        <f>IF(_Ov_Ophthalmology!J16&lt;&gt;"",_Ov_Ophthalmology!J16,SUM(Ophthalmology!J16))</f>
        <v>0</v>
      </c>
      <c r="K16" s="154" t="str">
        <f>IF(_Ov_Ophthalmology!K16&lt;&gt;"",_Ov_Ophthalmology!K16,IFERROR(Ophthalmology!BA16/Ophthalmology!AZ16,""))</f>
        <v/>
      </c>
      <c r="L16" s="91">
        <f>IF(_Ov_Ophthalmology!L16&lt;&gt;"",_Ov_Ophthalmology!L16,SUM(Ophthalmology!L16))</f>
        <v>0</v>
      </c>
      <c r="M16" s="89">
        <f>IF(_Ov_Ophthalmology!M16&lt;&gt;"",_Ov_Ophthalmology!M16,SUM(Ophthalmology!M16))</f>
        <v>0</v>
      </c>
      <c r="N16" s="89" t="str">
        <f>IF(_Ov_Ophthalmology!N16&lt;&gt;"",_Ov_Ophthalmology!N16,"")</f>
        <v/>
      </c>
      <c r="O16" s="91" t="str">
        <f>IF(_Ov_Ophthalmology!O16&lt;&gt;"",_Ov_Ophthalmology!O16,"")</f>
        <v/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3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25">
      <c r="A17" s="20"/>
      <c r="B17" s="62">
        <f>EDATE(DATE(_Setup!$B$4,10,1),ROW()-ROW($B$11))</f>
        <v>46113</v>
      </c>
      <c r="C17" s="81">
        <f>IF(_Ov_Ophthalmology!C17&lt;&gt;"",_Ov_Ophthalmology!C17,SUM(Ophthalmology!C17))</f>
        <v>0</v>
      </c>
      <c r="D17" s="82">
        <f>IF(_Ov_Ophthalmology!D17&lt;&gt;"",_Ov_Ophthalmology!D17,SUM(Ophthalmology!D17))</f>
        <v>0</v>
      </c>
      <c r="E17" s="83" t="str">
        <f t="shared" si="1"/>
        <v/>
      </c>
      <c r="F17" s="84">
        <f>IF(_Ov_Ophthalmology!F17&lt;&gt;"",_Ov_Ophthalmology!F17,SUM(Ophthalmology!F17))</f>
        <v>0</v>
      </c>
      <c r="G17" s="85">
        <f>IF(_Ov_Ophthalmology!G17&lt;&gt;"",_Ov_Ophthalmology!G17,SUM(Ophthalmology!G17))</f>
        <v>0</v>
      </c>
      <c r="H17" s="157" t="str">
        <f t="shared" si="2"/>
        <v/>
      </c>
      <c r="I17" s="154">
        <f>IF(_Ov_Ophthalmology!I17&lt;&gt;"",_Ov_Ophthalmology!I17,SUM(Ophthalmology!I17))</f>
        <v>0</v>
      </c>
      <c r="J17" s="154">
        <f>IF(_Ov_Ophthalmology!J17&lt;&gt;"",_Ov_Ophthalmology!J17,SUM(Ophthalmology!J17))</f>
        <v>0</v>
      </c>
      <c r="K17" s="154" t="str">
        <f>IF(_Ov_Ophthalmology!K17&lt;&gt;"",_Ov_Ophthalmology!K17,IFERROR(Ophthalmology!BA17/Ophthalmology!AZ17,""))</f>
        <v/>
      </c>
      <c r="L17" s="91">
        <f>IF(_Ov_Ophthalmology!L17&lt;&gt;"",_Ov_Ophthalmology!L17,SUM(Ophthalmology!L17))</f>
        <v>0</v>
      </c>
      <c r="M17" s="89">
        <f>IF(_Ov_Ophthalmology!M17&lt;&gt;"",_Ov_Ophthalmology!M17,SUM(Ophthalmology!M17))</f>
        <v>0</v>
      </c>
      <c r="N17" s="89" t="str">
        <f>IF(_Ov_Ophthalmology!N17&lt;&gt;"",_Ov_Ophthalmology!N17,"")</f>
        <v/>
      </c>
      <c r="O17" s="91" t="str">
        <f>IF(_Ov_Ophthalmology!O17&lt;&gt;"",_Ov_Ophthalmology!O17,"")</f>
        <v/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3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25">
      <c r="A18" s="20"/>
      <c r="B18" s="62">
        <f>EDATE(DATE(_Setup!$B$4,10,1),ROW()-ROW($B$11))</f>
        <v>46143</v>
      </c>
      <c r="C18" s="81">
        <f>IF(_Ov_Ophthalmology!C18&lt;&gt;"",_Ov_Ophthalmology!C18,SUM(Ophthalmology!C18))</f>
        <v>0</v>
      </c>
      <c r="D18" s="82">
        <f>IF(_Ov_Ophthalmology!D18&lt;&gt;"",_Ov_Ophthalmology!D18,SUM(Ophthalmology!D18))</f>
        <v>0</v>
      </c>
      <c r="E18" s="83" t="str">
        <f t="shared" si="1"/>
        <v/>
      </c>
      <c r="F18" s="84">
        <f>IF(_Ov_Ophthalmology!F18&lt;&gt;"",_Ov_Ophthalmology!F18,SUM(Ophthalmology!F18))</f>
        <v>0</v>
      </c>
      <c r="G18" s="85">
        <f>IF(_Ov_Ophthalmology!G18&lt;&gt;"",_Ov_Ophthalmology!G18,SUM(Ophthalmology!G18))</f>
        <v>0</v>
      </c>
      <c r="H18" s="157" t="str">
        <f t="shared" si="2"/>
        <v/>
      </c>
      <c r="I18" s="154">
        <f>IF(_Ov_Ophthalmology!I18&lt;&gt;"",_Ov_Ophthalmology!I18,SUM(Ophthalmology!I18))</f>
        <v>0</v>
      </c>
      <c r="J18" s="154">
        <f>IF(_Ov_Ophthalmology!J18&lt;&gt;"",_Ov_Ophthalmology!J18,SUM(Ophthalmology!J18))</f>
        <v>0</v>
      </c>
      <c r="K18" s="154" t="str">
        <f>IF(_Ov_Ophthalmology!K18&lt;&gt;"",_Ov_Ophthalmology!K18,IFERROR(Ophthalmology!BA18/Ophthalmology!AZ18,""))</f>
        <v/>
      </c>
      <c r="L18" s="91">
        <f>IF(_Ov_Ophthalmology!L18&lt;&gt;"",_Ov_Ophthalmology!L18,SUM(Ophthalmology!L18))</f>
        <v>0</v>
      </c>
      <c r="M18" s="89">
        <f>IF(_Ov_Ophthalmology!M18&lt;&gt;"",_Ov_Ophthalmology!M18,SUM(Ophthalmology!M18))</f>
        <v>0</v>
      </c>
      <c r="N18" s="89" t="str">
        <f>IF(_Ov_Ophthalmology!N18&lt;&gt;"",_Ov_Ophthalmology!N18,"")</f>
        <v/>
      </c>
      <c r="O18" s="91" t="str">
        <f>IF(_Ov_Ophthalmology!O18&lt;&gt;"",_Ov_Ophthalmology!O18,"")</f>
        <v/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3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25">
      <c r="A19" s="20"/>
      <c r="B19" s="62">
        <f>EDATE(DATE(_Setup!$B$4,10,1),ROW()-ROW($B$11))</f>
        <v>46174</v>
      </c>
      <c r="C19" s="81">
        <f>IF(_Ov_Ophthalmology!C19&lt;&gt;"",_Ov_Ophthalmology!C19,SUM(Ophthalmology!C19))</f>
        <v>0</v>
      </c>
      <c r="D19" s="82">
        <f>IF(_Ov_Ophthalmology!D19&lt;&gt;"",_Ov_Ophthalmology!D19,SUM(Ophthalmology!D19))</f>
        <v>0</v>
      </c>
      <c r="E19" s="83" t="str">
        <f t="shared" si="1"/>
        <v/>
      </c>
      <c r="F19" s="84">
        <f>IF(_Ov_Ophthalmology!F19&lt;&gt;"",_Ov_Ophthalmology!F19,SUM(Ophthalmology!F19))</f>
        <v>0</v>
      </c>
      <c r="G19" s="85">
        <f>IF(_Ov_Ophthalmology!G19&lt;&gt;"",_Ov_Ophthalmology!G19,SUM(Ophthalmology!G19))</f>
        <v>0</v>
      </c>
      <c r="H19" s="157" t="str">
        <f t="shared" si="2"/>
        <v/>
      </c>
      <c r="I19" s="154">
        <f>IF(_Ov_Ophthalmology!I19&lt;&gt;"",_Ov_Ophthalmology!I19,SUM(Ophthalmology!I19))</f>
        <v>0</v>
      </c>
      <c r="J19" s="154">
        <f>IF(_Ov_Ophthalmology!J19&lt;&gt;"",_Ov_Ophthalmology!J19,SUM(Ophthalmology!J19))</f>
        <v>0</v>
      </c>
      <c r="K19" s="154" t="str">
        <f>IF(_Ov_Ophthalmology!K19&lt;&gt;"",_Ov_Ophthalmology!K19,IFERROR(Ophthalmology!BA19/Ophthalmology!AZ19,""))</f>
        <v/>
      </c>
      <c r="L19" s="91">
        <f>IF(_Ov_Ophthalmology!L19&lt;&gt;"",_Ov_Ophthalmology!L19,SUM(Ophthalmology!L19))</f>
        <v>0</v>
      </c>
      <c r="M19" s="89">
        <f>IF(_Ov_Ophthalmology!M19&lt;&gt;"",_Ov_Ophthalmology!M19,SUM(Ophthalmology!M19))</f>
        <v>0</v>
      </c>
      <c r="N19" s="89" t="str">
        <f>IF(_Ov_Ophthalmology!N19&lt;&gt;"",_Ov_Ophthalmology!N19,"")</f>
        <v/>
      </c>
      <c r="O19" s="91" t="str">
        <f>IF(_Ov_Ophthalmology!O19&lt;&gt;"",_Ov_Ophthalmology!O19,"")</f>
        <v/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3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25">
      <c r="A20" s="20"/>
      <c r="B20" s="62">
        <f>EDATE(DATE(_Setup!$B$4,10,1),ROW()-ROW($B$11))</f>
        <v>46204</v>
      </c>
      <c r="C20" s="81">
        <f>IF(_Ov_Ophthalmology!C20&lt;&gt;"",_Ov_Ophthalmology!C20,SUM(Ophthalmology!C20))</f>
        <v>0</v>
      </c>
      <c r="D20" s="82">
        <f>IF(_Ov_Ophthalmology!D20&lt;&gt;"",_Ov_Ophthalmology!D20,SUM(Ophthalmology!D20))</f>
        <v>0</v>
      </c>
      <c r="E20" s="83" t="str">
        <f t="shared" si="1"/>
        <v/>
      </c>
      <c r="F20" s="84">
        <f>IF(_Ov_Ophthalmology!F20&lt;&gt;"",_Ov_Ophthalmology!F20,SUM(Ophthalmology!F20))</f>
        <v>0</v>
      </c>
      <c r="G20" s="85">
        <f>IF(_Ov_Ophthalmology!G20&lt;&gt;"",_Ov_Ophthalmology!G20,SUM(Ophthalmology!G20))</f>
        <v>0</v>
      </c>
      <c r="H20" s="157" t="str">
        <f t="shared" si="2"/>
        <v/>
      </c>
      <c r="I20" s="154">
        <f>IF(_Ov_Ophthalmology!I20&lt;&gt;"",_Ov_Ophthalmology!I20,SUM(Ophthalmology!I20))</f>
        <v>0</v>
      </c>
      <c r="J20" s="154">
        <f>IF(_Ov_Ophthalmology!J20&lt;&gt;"",_Ov_Ophthalmology!J20,SUM(Ophthalmology!J20))</f>
        <v>0</v>
      </c>
      <c r="K20" s="154" t="str">
        <f>IF(_Ov_Ophthalmology!K20&lt;&gt;"",_Ov_Ophthalmology!K20,IFERROR(Ophthalmology!BA20/Ophthalmology!AZ20,""))</f>
        <v/>
      </c>
      <c r="L20" s="91">
        <f>IF(_Ov_Ophthalmology!L20&lt;&gt;"",_Ov_Ophthalmology!L20,SUM(Ophthalmology!L20))</f>
        <v>0</v>
      </c>
      <c r="M20" s="89">
        <f>IF(_Ov_Ophthalmology!M20&lt;&gt;"",_Ov_Ophthalmology!M20,SUM(Ophthalmology!M20))</f>
        <v>0</v>
      </c>
      <c r="N20" s="89" t="str">
        <f>IF(_Ov_Ophthalmology!N20&lt;&gt;"",_Ov_Ophthalmology!N20,"")</f>
        <v/>
      </c>
      <c r="O20" s="91" t="str">
        <f>IF(_Ov_Ophthalmology!O20&lt;&gt;"",_Ov_Ophthalmology!O20,"")</f>
        <v/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3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25">
      <c r="A21" s="20"/>
      <c r="B21" s="62">
        <f>EDATE(DATE(_Setup!$B$4,10,1),ROW()-ROW($B$11))</f>
        <v>46235</v>
      </c>
      <c r="C21" s="81">
        <f>IF(_Ov_Ophthalmology!C21&lt;&gt;"",_Ov_Ophthalmology!C21,SUM(Ophthalmology!C21))</f>
        <v>0</v>
      </c>
      <c r="D21" s="82">
        <f>IF(_Ov_Ophthalmology!D21&lt;&gt;"",_Ov_Ophthalmology!D21,SUM(Ophthalmology!D21))</f>
        <v>0</v>
      </c>
      <c r="E21" s="83" t="str">
        <f t="shared" si="1"/>
        <v/>
      </c>
      <c r="F21" s="84">
        <f>IF(_Ov_Ophthalmology!F21&lt;&gt;"",_Ov_Ophthalmology!F21,SUM(Ophthalmology!F21))</f>
        <v>0</v>
      </c>
      <c r="G21" s="85">
        <f>IF(_Ov_Ophthalmology!G21&lt;&gt;"",_Ov_Ophthalmology!G21,SUM(Ophthalmology!G21))</f>
        <v>0</v>
      </c>
      <c r="H21" s="157" t="str">
        <f t="shared" si="2"/>
        <v/>
      </c>
      <c r="I21" s="154">
        <f>IF(_Ov_Ophthalmology!I21&lt;&gt;"",_Ov_Ophthalmology!I21,SUM(Ophthalmology!I21))</f>
        <v>0</v>
      </c>
      <c r="J21" s="154">
        <f>IF(_Ov_Ophthalmology!J21&lt;&gt;"",_Ov_Ophthalmology!J21,SUM(Ophthalmology!J21))</f>
        <v>0</v>
      </c>
      <c r="K21" s="154" t="str">
        <f>IF(_Ov_Ophthalmology!K21&lt;&gt;"",_Ov_Ophthalmology!K21,IFERROR(Ophthalmology!BA21/Ophthalmology!AZ21,""))</f>
        <v/>
      </c>
      <c r="L21" s="91">
        <f>IF(_Ov_Ophthalmology!L21&lt;&gt;"",_Ov_Ophthalmology!L21,SUM(Ophthalmology!L21))</f>
        <v>0</v>
      </c>
      <c r="M21" s="89">
        <f>IF(_Ov_Ophthalmology!M21&lt;&gt;"",_Ov_Ophthalmology!M21,SUM(Ophthalmology!M21))</f>
        <v>0</v>
      </c>
      <c r="N21" s="89" t="str">
        <f>IF(_Ov_Ophthalmology!N21&lt;&gt;"",_Ov_Ophthalmology!N21,"")</f>
        <v/>
      </c>
      <c r="O21" s="91" t="str">
        <f>IF(_Ov_Ophthalmology!O21&lt;&gt;"",_Ov_Ophthalmology!O21,"")</f>
        <v/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3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25">
      <c r="A22" s="20"/>
      <c r="B22" s="62">
        <f>EDATE(DATE(_Setup!$B$4,10,1),ROW()-ROW($B$11))</f>
        <v>46266</v>
      </c>
      <c r="C22" s="100">
        <f>IF(_Ov_Ophthalmology!C22&lt;&gt;"",_Ov_Ophthalmology!C22,SUM(Ophthalmology!C22))</f>
        <v>0</v>
      </c>
      <c r="D22" s="101">
        <f>IF(_Ov_Ophthalmology!D22&lt;&gt;"",_Ov_Ophthalmology!D22,SUM(Ophthalmology!D22))</f>
        <v>0</v>
      </c>
      <c r="E22" s="102" t="str">
        <f t="shared" si="1"/>
        <v/>
      </c>
      <c r="F22" s="103">
        <f>IF(_Ov_Ophthalmology!F22&lt;&gt;"",_Ov_Ophthalmology!F22,SUM(Ophthalmology!F22))</f>
        <v>0</v>
      </c>
      <c r="G22" s="104">
        <f>IF(_Ov_Ophthalmology!G22&lt;&gt;"",_Ov_Ophthalmology!G22,SUM(Ophthalmology!G22))</f>
        <v>0</v>
      </c>
      <c r="H22" s="161" t="str">
        <f t="shared" si="2"/>
        <v/>
      </c>
      <c r="I22" s="162">
        <f>IF(_Ov_Ophthalmology!I22&lt;&gt;"",_Ov_Ophthalmology!I22,SUM(Ophthalmology!I22))</f>
        <v>0</v>
      </c>
      <c r="J22" s="162">
        <f>IF(_Ov_Ophthalmology!J22&lt;&gt;"",_Ov_Ophthalmology!J22,SUM(Ophthalmology!J22))</f>
        <v>0</v>
      </c>
      <c r="K22" s="162" t="str">
        <f>IF(_Ov_Ophthalmology!K22&lt;&gt;"",_Ov_Ophthalmology!K22,IFERROR(Ophthalmology!BA22/Ophthalmology!AZ22,""))</f>
        <v/>
      </c>
      <c r="L22" s="110">
        <f>IF(_Ov_Ophthalmology!L22&lt;&gt;"",_Ov_Ophthalmology!L22,SUM(Ophthalmology!L22))</f>
        <v>0</v>
      </c>
      <c r="M22" s="108">
        <f>IF(_Ov_Ophthalmology!M22&lt;&gt;"",_Ov_Ophthalmology!M22,SUM(Ophthalmology!M22))</f>
        <v>0</v>
      </c>
      <c r="N22" s="108" t="str">
        <f>IF(_Ov_Ophthalmology!N22&lt;&gt;"",_Ov_Ophthalmology!N22,"")</f>
        <v/>
      </c>
      <c r="O22" s="110" t="str">
        <f>IF(_Ov_Ophthalmology!O22&lt;&gt;"",_Ov_Ophthalmology!O22,"")</f>
        <v/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3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25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25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25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25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25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25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25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25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25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25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25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25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25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25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25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25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25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25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25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25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25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25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25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25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25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25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25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25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25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25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25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25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25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25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25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25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25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25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25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25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25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25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25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25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25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25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95f1b23-abaf-45ee-821d-b7ab251ab3bf}" enabled="0" method="" siteId="{e95f1b23-abaf-45ee-821d-b7ab251ab3b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Dashboard-Ophthalmology</vt:lpstr>
      <vt:lpstr>Dashboard-Optometry</vt:lpstr>
      <vt:lpstr>Portland</vt:lpstr>
      <vt:lpstr>Vancouver</vt:lpstr>
      <vt:lpstr>Salem</vt:lpstr>
      <vt:lpstr>Bend</vt:lpstr>
      <vt:lpstr>Optical</vt:lpstr>
      <vt:lpstr>Nursing</vt:lpstr>
      <vt:lpstr>Weekly Consult Data</vt:lpstr>
      <vt:lpstr>Supervisory</vt:lpstr>
      <vt:lpstr>Optometry</vt:lpstr>
      <vt:lpstr>Ophthalmology</vt:lpstr>
      <vt:lpstr>_Setup</vt:lpstr>
      <vt:lpstr>_Ov_Ophthalmology</vt:lpstr>
      <vt:lpstr>_Ov_Optometry</vt:lpstr>
      <vt:lpstr>_Sys_Portland_Optom</vt:lpstr>
      <vt:lpstr>_Sys_Vancouver_Optom</vt:lpstr>
      <vt:lpstr>_Sys_Salem_Optom</vt:lpstr>
      <vt:lpstr>_Sys_Bend_Optom</vt:lpstr>
      <vt:lpstr>_Dash_Portland_Ophthalmology</vt:lpstr>
      <vt:lpstr>_Dash_Portland_Optometry</vt:lpstr>
      <vt:lpstr>_Dash_Vancouver_Ophthalmology</vt:lpstr>
      <vt:lpstr>_Dash_Vancouver_Optometry</vt:lpstr>
      <vt:lpstr>_Dash_Salem_Ophthalmology</vt:lpstr>
      <vt:lpstr>_Dash_Salem_Optometry</vt:lpstr>
      <vt:lpstr>_Dash_Bend_Ophthalmology</vt:lpstr>
      <vt:lpstr>_Dash_Bend_Optometry</vt:lpstr>
      <vt:lpstr>_Dash_Optical</vt:lpstr>
      <vt:lpstr>_Dash_Optometry</vt:lpstr>
      <vt:lpstr>_Dash_Nursing</vt:lpstr>
      <vt:lpstr>_Dash_Supervisory</vt:lpstr>
      <vt:lpstr>_Dash_Ophthalmology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Bonafe, Jamie B.</cp:lastModifiedBy>
  <dcterms:created xsi:type="dcterms:W3CDTF">2026-02-20T18:56:54Z</dcterms:created>
  <dcterms:modified xsi:type="dcterms:W3CDTF">2026-08-19T17:05:52Z</dcterms:modified>
</cp:coreProperties>
</file>